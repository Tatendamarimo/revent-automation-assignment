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hub\Downloads\"/>
    </mc:Choice>
  </mc:AlternateContent>
  <xr:revisionPtr revIDLastSave="0" documentId="13_ncr:1_{6BFC3DA2-43D2-4F3E-B57F-EF8273230FD1}" xr6:coauthVersionLast="47" xr6:coauthVersionMax="47" xr10:uidLastSave="{00000000-0000-0000-0000-000000000000}"/>
  <bookViews>
    <workbookView xWindow="-110" yWindow="-110" windowWidth="19420" windowHeight="10300" xr2:uid="{AD4A39F8-AB5D-4AE0-8AED-B49F37684427}"/>
  </bookViews>
  <sheets>
    <sheet name="Column Relations Sheet" sheetId="4" r:id="rId1"/>
    <sheet name="Summary Sheet - templete" sheetId="2" r:id="rId2"/>
    <sheet name="Amazon KSA" sheetId="3" r:id="rId3"/>
    <sheet name="Noon KSA" sheetId="1" r:id="rId4"/>
  </sheets>
  <definedNames>
    <definedName name="_xlnm._FilterDatabase" localSheetId="2" hidden="1">'Amazon KSA'!$A$1:$AV$9</definedName>
    <definedName name="_xlnm._FilterDatabase" localSheetId="3" hidden="1">'Noon KSA'!$A$1:$AO$28</definedName>
    <definedName name="_xlnm._FilterDatabase" localSheetId="1" hidden="1">'Summary Sheet - templete'!$A$1:$M$32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2" l="1"/>
  <c r="G31" i="2"/>
  <c r="G21" i="2"/>
  <c r="G20" i="2"/>
  <c r="G4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" i="1"/>
  <c r="G3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2" i="2"/>
  <c r="G23" i="2"/>
  <c r="G24" i="2"/>
  <c r="G25" i="2"/>
  <c r="G26" i="2"/>
  <c r="G27" i="2"/>
  <c r="G28" i="2"/>
  <c r="G29" i="2"/>
  <c r="G30" i="2"/>
  <c r="G2" i="2"/>
</calcChain>
</file>

<file path=xl/sharedStrings.xml><?xml version="1.0" encoding="utf-8"?>
<sst xmlns="http://schemas.openxmlformats.org/spreadsheetml/2006/main" count="1210" uniqueCount="408">
  <si>
    <t>Contract</t>
  </si>
  <si>
    <t>Business Unit</t>
  </si>
  <si>
    <t>Document Type</t>
  </si>
  <si>
    <t>Invoice Type Code</t>
  </si>
  <si>
    <t>Document Subtype</t>
  </si>
  <si>
    <t>Document Date</t>
  </si>
  <si>
    <t>Invoice Nr</t>
  </si>
  <si>
    <t>Invoice Line Nr</t>
  </si>
  <si>
    <t>Credit Note Nr</t>
  </si>
  <si>
    <t>Credit Note Line Nr</t>
  </si>
  <si>
    <t>Transaction Type</t>
  </si>
  <si>
    <t>Source Doc Type</t>
  </si>
  <si>
    <t>Source Doc Nr</t>
  </si>
  <si>
    <t>Source Doc Line Type</t>
  </si>
  <si>
    <t>Source Doc Line Nr</t>
  </si>
  <si>
    <t>Description</t>
  </si>
  <si>
    <t>SKU</t>
  </si>
  <si>
    <t>Partner SKU</t>
  </si>
  <si>
    <t>Misc</t>
  </si>
  <si>
    <t>Issuer City</t>
  </si>
  <si>
    <t>Issuer Country</t>
  </si>
  <si>
    <t>Issuer Location</t>
  </si>
  <si>
    <t>Receiver City</t>
  </si>
  <si>
    <t>Receiver Country</t>
  </si>
  <si>
    <t>Receiver Location</t>
  </si>
  <si>
    <t>Issuer Legal Entity</t>
  </si>
  <si>
    <t>Issuer Legal Name</t>
  </si>
  <si>
    <t>Issuer TRN</t>
  </si>
  <si>
    <t>Receiver Legal Entity</t>
  </si>
  <si>
    <t>Receiver Legal Name</t>
  </si>
  <si>
    <t>Receiver TRN</t>
  </si>
  <si>
    <t>Document Currency</t>
  </si>
  <si>
    <t>VAT Currency</t>
  </si>
  <si>
    <t>VAT Rate</t>
  </si>
  <si>
    <t>FX Rate</t>
  </si>
  <si>
    <t>Price Excluding VAT (Document Currency)</t>
  </si>
  <si>
    <t>Price Excluding VAT (VAT Currency)</t>
  </si>
  <si>
    <t>VAT Amount (Document Currency)</t>
  </si>
  <si>
    <t>VAT Amount (VAT Currency)</t>
  </si>
  <si>
    <t>Price Including VAT (Document Currency)</t>
  </si>
  <si>
    <t>MPABANGBKLSA</t>
  </si>
  <si>
    <t>noon</t>
  </si>
  <si>
    <t>Invoice</t>
  </si>
  <si>
    <t>nontax_local</t>
  </si>
  <si>
    <t>Purchase Summary</t>
  </si>
  <si>
    <t>AE2BEHFSH-GSJA000006</t>
  </si>
  <si>
    <t>Customer</t>
  </si>
  <si>
    <t>Customer order</t>
  </si>
  <si>
    <t>NSAHC0047226333</t>
  </si>
  <si>
    <t>Customer Item</t>
  </si>
  <si>
    <t>NSAHC0047226333-2-P1</t>
  </si>
  <si>
    <t xml:space="preserve">Renewed - iPad Pro 2016 (1st Gen) 9.7-Inch 32GB Wi-Fi Space Gray </t>
  </si>
  <si>
    <t>N70262377V-1</t>
  </si>
  <si>
    <t>TABAP032041Max</t>
  </si>
  <si>
    <t>sa</t>
  </si>
  <si>
    <t>SA</t>
  </si>
  <si>
    <t>LE2BEHFSHAE</t>
  </si>
  <si>
    <t>Mobisoft Telesolutions FZ-LLC</t>
  </si>
  <si>
    <t>بيان السهلي</t>
  </si>
  <si>
    <t>SAR</t>
  </si>
  <si>
    <t>AE2BEHFSH-GSJA000005</t>
  </si>
  <si>
    <t>NSAHC0083560251</t>
  </si>
  <si>
    <t>NSAHC0083560251-1-P1</t>
  </si>
  <si>
    <t>11953647581P</t>
  </si>
  <si>
    <t>هياء السهلي</t>
  </si>
  <si>
    <t>AE2BEHFSH-GSJA000004</t>
  </si>
  <si>
    <t>NSAHC0047023168</t>
  </si>
  <si>
    <t>NSAHC0047023168-1-P1</t>
  </si>
  <si>
    <t xml:space="preserve">Renewed - iPad Pro 2016 (1st Gen) 9.7-Inch 32GB WiFi Silver </t>
  </si>
  <si>
    <t>N70262333V-1</t>
  </si>
  <si>
    <t>TABAP032039Max</t>
  </si>
  <si>
    <t>عيد الحمود</t>
  </si>
  <si>
    <t>AE2BEHFSH-GSJA000003</t>
  </si>
  <si>
    <t>NSAHC0001494244</t>
  </si>
  <si>
    <t>NSAHC0001494244-1-P1</t>
  </si>
  <si>
    <t xml:space="preserve">Renewed - iPhone 14 Pro Max 128GB Deep Purple 5G With Facetime </t>
  </si>
  <si>
    <t>N70095753V-1</t>
  </si>
  <si>
    <t>Eslamabdalgany الشحات</t>
  </si>
  <si>
    <t>AE2BEHFSH-GSJA000002</t>
  </si>
  <si>
    <t>NSAHC0000707946</t>
  </si>
  <si>
    <t>NSAHC0000707946-1-P1</t>
  </si>
  <si>
    <t xml:space="preserve">Renewed - iPhone 14 Pro 256GB Deep Purple 5G With Facetime - International Version </t>
  </si>
  <si>
    <t>N53431294A</t>
  </si>
  <si>
    <t>N53431294A-1</t>
  </si>
  <si>
    <t>Rojim Sk</t>
  </si>
  <si>
    <t>AE2BEHFSH-GSJA000001</t>
  </si>
  <si>
    <t>NSAHC0082879023</t>
  </si>
  <si>
    <t>NSAHC0082879023-1-P1</t>
  </si>
  <si>
    <t>سعود الودعاني</t>
  </si>
  <si>
    <t>AE2BEHFSH-GSIL000076</t>
  </si>
  <si>
    <t>NSAHC0013207023</t>
  </si>
  <si>
    <t>NSAHC0013207023-1-P1</t>
  </si>
  <si>
    <t xml:space="preserve">Renewed - iPad 2018 (6th Gen) 9.7-Inch 32GB Wi-Fi Space Grey - International Version </t>
  </si>
  <si>
    <t>N53382311A</t>
  </si>
  <si>
    <t>GG7WXLMEJF8J</t>
  </si>
  <si>
    <t>md shahabuddin</t>
  </si>
  <si>
    <t>AE2BEHFSH-GSIL000075</t>
  </si>
  <si>
    <t>NSAHC0053527539</t>
  </si>
  <si>
    <t>NSAHC0053527539-1-P1</t>
  </si>
  <si>
    <t xml:space="preserve">Renewed - iPad Pro 2020 (4th Gen) 12.9-inch 512GB Wi-Fi 4G LTE Space Gray With FaceTime </t>
  </si>
  <si>
    <t>N51142274A</t>
  </si>
  <si>
    <t>eduard barbosa</t>
  </si>
  <si>
    <t>Creditnote</t>
  </si>
  <si>
    <t>Purchase Return Summary</t>
  </si>
  <si>
    <t>AE2BEHFSH-GSIL000069</t>
  </si>
  <si>
    <t>AE2BEHFSH-DSIL000028</t>
  </si>
  <si>
    <t>NSAHC0002594656</t>
  </si>
  <si>
    <t>NSAHC0002594656-2-P1</t>
  </si>
  <si>
    <t>سلطان العتيبي</t>
  </si>
  <si>
    <t>AE2BEHFSH-GSIL000074</t>
  </si>
  <si>
    <t>NSAHC0017132006</t>
  </si>
  <si>
    <t>NSAHC0017132006-2-P1</t>
  </si>
  <si>
    <t xml:space="preserve">Renewed - iPad-2019 (7th Gen) 10.2inch 32GB Wi-Fi 4G LTE Silver - International Version </t>
  </si>
  <si>
    <t>N50388287A</t>
  </si>
  <si>
    <t>saad alotabi</t>
  </si>
  <si>
    <t>AE2BEHFSH-GSIL000073</t>
  </si>
  <si>
    <t>NSAHC0007179996</t>
  </si>
  <si>
    <t>NSAHC0007179996-2-P1</t>
  </si>
  <si>
    <t xml:space="preserve">Renewed - iPad Pro 2021 5th Generation 12.9-Inch, M1 Chip, 512GB, Wi-Fi, 5G, Silver with Facetime - International Specs </t>
  </si>
  <si>
    <t>N70210242V-1</t>
  </si>
  <si>
    <t>N46875147A</t>
  </si>
  <si>
    <t>11557662100P</t>
  </si>
  <si>
    <t>abdulmohsen alammar</t>
  </si>
  <si>
    <t>AE2BEHFSH-GSIL000072</t>
  </si>
  <si>
    <t>NSAHC0088492440</t>
  </si>
  <si>
    <t>NSAHC0088492440-1-P1</t>
  </si>
  <si>
    <t>شريفه القحطاني</t>
  </si>
  <si>
    <t>AE2BEHFSH-GSIL000071</t>
  </si>
  <si>
    <t>NSAHC0084762122</t>
  </si>
  <si>
    <t>NSAHC0084762122-1-P1</t>
  </si>
  <si>
    <t xml:space="preserve">Renewed - iPad 2017 (5th Gen) 9.7inch 32GBWiFi Space Gray With Facetime </t>
  </si>
  <si>
    <t>N34261427A</t>
  </si>
  <si>
    <t>ام بتال</t>
  </si>
  <si>
    <t>NSAHC0084762122-2-P1</t>
  </si>
  <si>
    <t>AE2BEHFSH-GSIL000070</t>
  </si>
  <si>
    <t>NSAHC0085871396</t>
  </si>
  <si>
    <t>NSAHC0085871396-1-P1</t>
  </si>
  <si>
    <t xml:space="preserve">Renewed – iPad Pro 11-Inch (2018) 1st Gen WiFi + Cellular 256GB Space Gray </t>
  </si>
  <si>
    <t>N70259511V-1</t>
  </si>
  <si>
    <t>TABAP256035</t>
  </si>
  <si>
    <t>Sunil Lama</t>
  </si>
  <si>
    <t>AE2BEHFSH-GSIL000068</t>
  </si>
  <si>
    <t>NSAHC0047546591</t>
  </si>
  <si>
    <t>NSAHC0047546591-1-P1</t>
  </si>
  <si>
    <t>عبدالرحمن ال عتيق</t>
  </si>
  <si>
    <t>AE2BEHFSH-GSIL000067</t>
  </si>
  <si>
    <t>NSAHC0032889994</t>
  </si>
  <si>
    <t>NSAHC0032889994-1-P1</t>
  </si>
  <si>
    <t>امل الشهري</t>
  </si>
  <si>
    <t>AE2BEHFSH-GSIL000066</t>
  </si>
  <si>
    <t>NSAHC0082186765</t>
  </si>
  <si>
    <t>NSAHC0082186765-2-P1</t>
  </si>
  <si>
    <t xml:space="preserve">Renewed - Ipad 2019 (7th Gen) 10.2-Inch 128GB Wi-Fi,LTE,  Space Gray - International Version </t>
  </si>
  <si>
    <t>N70210253V-1</t>
  </si>
  <si>
    <t>N37936028ALTE</t>
  </si>
  <si>
    <t>امير ابراهيم</t>
  </si>
  <si>
    <t>AE2BEHFSH-GSIL000065</t>
  </si>
  <si>
    <t>NSAHC0065081485</t>
  </si>
  <si>
    <t>NSAHC0065081485-3-P1</t>
  </si>
  <si>
    <t xml:space="preserve">Renewed - iPad Air 2 9.7inch 32GB Wi-Fi Space Gray With FaceTime </t>
  </si>
  <si>
    <t>N53408690A</t>
  </si>
  <si>
    <t>BEYOND10450</t>
  </si>
  <si>
    <t>ناديه الميزاني</t>
  </si>
  <si>
    <t>AE2BEHFSH-GSIL000064</t>
  </si>
  <si>
    <t>NSAHC0010472664</t>
  </si>
  <si>
    <t>NSAHC0010472664-1-P1</t>
  </si>
  <si>
    <t>GCHV40RPHLF9</t>
  </si>
  <si>
    <t>رحاب الشمراني</t>
  </si>
  <si>
    <t>AE2BEHFSH-GSIL000063</t>
  </si>
  <si>
    <t>NSAHC0064138549</t>
  </si>
  <si>
    <t>NSAHC0064138549-1-P1</t>
  </si>
  <si>
    <t>F9GTK57VHLF9</t>
  </si>
  <si>
    <t>ملهيه الشويلعي</t>
  </si>
  <si>
    <t>AE2BEHFSH-GSIL000062</t>
  </si>
  <si>
    <t>NSAHC0080314615</t>
  </si>
  <si>
    <t>NSAHC0080314615-1-P1</t>
  </si>
  <si>
    <t>هديل محمد</t>
  </si>
  <si>
    <t>AE2BEHFSH-GSIL000058</t>
  </si>
  <si>
    <t>AE2BEHFSH-DSIL000026</t>
  </si>
  <si>
    <t>NSAHC0081508707</t>
  </si>
  <si>
    <t>NSAHC0081508707-1-P1</t>
  </si>
  <si>
    <t>Muhammad Muhammad</t>
  </si>
  <si>
    <t>AE2BEHFSH-GSIL000055</t>
  </si>
  <si>
    <t>AE2BEHFSH-DSIL000025</t>
  </si>
  <si>
    <t>NSAHC0091664187</t>
  </si>
  <si>
    <t>NSAHC0091664187-1-P1</t>
  </si>
  <si>
    <t>علاءالدين عبدالقادر</t>
  </si>
  <si>
    <t>AE2BEHFSH-GSIL000061</t>
  </si>
  <si>
    <t>NSAHC0037327791</t>
  </si>
  <si>
    <t>NSAHC0037327791-4-P1</t>
  </si>
  <si>
    <t>Anelyn Tajon</t>
  </si>
  <si>
    <t>AE2BEHFSH-GSIL000060</t>
  </si>
  <si>
    <t>NSAHC0063312130</t>
  </si>
  <si>
    <t>NSAHC0063312130-2-P1</t>
  </si>
  <si>
    <t>Ronald Pantua</t>
  </si>
  <si>
    <t>Channel</t>
  </si>
  <si>
    <t>Date</t>
  </si>
  <si>
    <t>Day</t>
  </si>
  <si>
    <t>Month</t>
  </si>
  <si>
    <t>Year</t>
  </si>
  <si>
    <t>Order Number</t>
  </si>
  <si>
    <t>Zoho SKU</t>
  </si>
  <si>
    <t>QTY</t>
  </si>
  <si>
    <t>Category</t>
  </si>
  <si>
    <t>Channel SKU</t>
  </si>
  <si>
    <t>Channel Item Name</t>
  </si>
  <si>
    <t>Value (Including VAT)</t>
  </si>
  <si>
    <t>Noon KSA</t>
  </si>
  <si>
    <t>NA</t>
  </si>
  <si>
    <t>Tablet</t>
  </si>
  <si>
    <t>Renewed - Ipad 2019 (7th Gen) 10.2-Inch 128GB Wi-Fi,LTE, Space Gray - International Version</t>
  </si>
  <si>
    <t>Renewed - iPad Air 2 9.7inch 32GB Wi-Fi Space Gray With FaceTime</t>
  </si>
  <si>
    <t>Renewed - iPad 2017 (5th Gen) 9.7inch 32GBWiFi Space Gray With Facetime</t>
  </si>
  <si>
    <t>Renewed - iPad Pro 2021 5th Generation 12.9-Inch, M1 Chip, 512GB, Wi-Fi, 5G, Silver with Facetime - International Specs</t>
  </si>
  <si>
    <t>Renewed - iPad-2019 (7th Gen) 10.2inch 32GB Wi-Fi 4G LTE Silver - International Version</t>
  </si>
  <si>
    <t>Renewed - iPad 2018 (6th Gen) 9.7-Inch 32GB Wi-Fi Space Grey - International Version</t>
  </si>
  <si>
    <t>Renewed – iPad Pro 11-Inch (2018) 1st Gen WiFi + Cellular 256GB Space Gray</t>
  </si>
  <si>
    <t>Noon KSA Return</t>
  </si>
  <si>
    <t>Smartphone</t>
  </si>
  <si>
    <t>Renewed - iPhone 14 Pro Max 128GB Deep Purple 5G With Facetime</t>
  </si>
  <si>
    <t>Amazon KSA</t>
  </si>
  <si>
    <t>405-4010753-1240312</t>
  </si>
  <si>
    <t>93-PZWP-1Y65</t>
  </si>
  <si>
    <t>Apple (Refurbished) iPhone 14 Pro Max 5G 128GB - Deep Purple</t>
  </si>
  <si>
    <t>405-3980961-9785131</t>
  </si>
  <si>
    <t>TY-BWW6-X94D</t>
  </si>
  <si>
    <t>Apple (Refurbished) iPhone 14 Plus 5G 128GB - Midnight</t>
  </si>
  <si>
    <t>408-5178714-0670729</t>
  </si>
  <si>
    <t>Renewed - iPad Pro 2016 (1st Gen) 9.7-Inch 32GB WiFi Silver</t>
  </si>
  <si>
    <t>Renewed - iPhone 14 Pro 256GB Deep Purple 5G With Facetime - International Version</t>
  </si>
  <si>
    <t>Renewed - iPad Pro 2020 (4th Gen) 12.9-inch 512GB Wi-Fi 4G LTE Space Gray With FaceTime</t>
  </si>
  <si>
    <t>Renewed - iPad Pro 2016 (1st Gen) 9.7-Inch 32GB Wi-Fi Space Gray</t>
  </si>
  <si>
    <t>406-8433320-8808338</t>
  </si>
  <si>
    <t>K7-J3IC-O2UO</t>
  </si>
  <si>
    <t>Apple (Refurbished) iPhone 14 Pro 5G 256GB - Deep Purple</t>
  </si>
  <si>
    <t>404-3161102-5796340</t>
  </si>
  <si>
    <t>Summary Sheet - templete column names</t>
  </si>
  <si>
    <t>Noon KSA column name</t>
  </si>
  <si>
    <t>Remarks</t>
  </si>
  <si>
    <t>Amazon KSA Colum Name</t>
  </si>
  <si>
    <t>it should autometically take the day number from date itslef</t>
  </si>
  <si>
    <t>it should autometically take the Month from date itslef</t>
  </si>
  <si>
    <t>it should autometically take the year from date itslef</t>
  </si>
  <si>
    <t>Currently mark it "NA"</t>
  </si>
  <si>
    <t>check</t>
  </si>
  <si>
    <t>checK</t>
  </si>
  <si>
    <t>Amazon Order Id</t>
  </si>
  <si>
    <t>Merchant Order Id</t>
  </si>
  <si>
    <t>Shipment ID</t>
  </si>
  <si>
    <t>Shipment Item Id</t>
  </si>
  <si>
    <t>Amazon Order Item Id</t>
  </si>
  <si>
    <t>Merchant Order Item Id</t>
  </si>
  <si>
    <t>Purchase Date</t>
  </si>
  <si>
    <t>Payments Date</t>
  </si>
  <si>
    <t>Shipment Date</t>
  </si>
  <si>
    <t>Reporting Date</t>
  </si>
  <si>
    <t>Buyer Email</t>
  </si>
  <si>
    <t>Buyer Name</t>
  </si>
  <si>
    <t>Buyer Phone Number</t>
  </si>
  <si>
    <t>Merchant SKU</t>
  </si>
  <si>
    <t>Title</t>
  </si>
  <si>
    <t>Shipped Quantity</t>
  </si>
  <si>
    <t>Currency</t>
  </si>
  <si>
    <t>Item Price</t>
  </si>
  <si>
    <t>Item Tax</t>
  </si>
  <si>
    <t>Shipping Price</t>
  </si>
  <si>
    <t>Shipping Tax</t>
  </si>
  <si>
    <t>Gift Wrap Price</t>
  </si>
  <si>
    <t>Gift Wrap Tax</t>
  </si>
  <si>
    <t>Ship Service Level</t>
  </si>
  <si>
    <t>Recipient Name</t>
  </si>
  <si>
    <t>Shipping Address 1</t>
  </si>
  <si>
    <t>Shipping Address 2</t>
  </si>
  <si>
    <t>Shipping Address 3</t>
  </si>
  <si>
    <t>Shipping City</t>
  </si>
  <si>
    <t>Shipping State</t>
  </si>
  <si>
    <t>Shipping Postal Code</t>
  </si>
  <si>
    <t>Shipping Country Code</t>
  </si>
  <si>
    <t>Shipping Phone Number</t>
  </si>
  <si>
    <t>Billing Address 1</t>
  </si>
  <si>
    <t>Billing Address 2</t>
  </si>
  <si>
    <t>Billing Address 3</t>
  </si>
  <si>
    <t>Billing City</t>
  </si>
  <si>
    <t>Billing State</t>
  </si>
  <si>
    <t>bill-postal-code</t>
  </si>
  <si>
    <t>bill-country</t>
  </si>
  <si>
    <t>Item Promo Discount</t>
  </si>
  <si>
    <t>Shipment Promo Discount</t>
  </si>
  <si>
    <t>Carrier</t>
  </si>
  <si>
    <t>Tracking Number</t>
  </si>
  <si>
    <t>Estimated Arrival Date</t>
  </si>
  <si>
    <t>FC</t>
  </si>
  <si>
    <t>Fulfillment Channel</t>
  </si>
  <si>
    <t>Sales Channel</t>
  </si>
  <si>
    <t>UJ8PKJ2jj</t>
  </si>
  <si>
    <t>DhT7LQ10Dz0NR</t>
  </si>
  <si>
    <t>2026-01-01T20:21:23+03:00</t>
  </si>
  <si>
    <t>2026-01-01T21:42:52+03:00</t>
  </si>
  <si>
    <t>2026-01-02T00:43:05+03:00</t>
  </si>
  <si>
    <t>nz6jdk8fc3cmszp@marketplace.amazon.sa</t>
  </si>
  <si>
    <t>محمود الشافعى</t>
  </si>
  <si>
    <t>Standard</t>
  </si>
  <si>
    <t>mahmoud shawky</t>
  </si>
  <si>
    <t>JBRA6534, Manazel Al Muttaqeen Street</t>
  </si>
  <si>
    <t>6534 Alzagzoog Tower 9 floor 902</t>
  </si>
  <si>
    <t>Jeddah</t>
  </si>
  <si>
    <t>Makkah</t>
  </si>
  <si>
    <t>--</t>
  </si>
  <si>
    <t>AL Faisaliah</t>
  </si>
  <si>
    <t>beside Dr. Irfan hostpital</t>
  </si>
  <si>
    <t>AMZSA</t>
  </si>
  <si>
    <t>ASA968021680</t>
  </si>
  <si>
    <t>2026-01-02T20:00:00+03:00</t>
  </si>
  <si>
    <t>JED4</t>
  </si>
  <si>
    <t>AFN</t>
  </si>
  <si>
    <t>amazon.sa</t>
  </si>
  <si>
    <t>UnZq5DVLj</t>
  </si>
  <si>
    <t>DDVMzY11Dj0KR</t>
  </si>
  <si>
    <t>2026-01-01T12:49:08+03:00</t>
  </si>
  <si>
    <t>2026-01-01T20:37:51+03:00</t>
  </si>
  <si>
    <t>2026-01-01T23:38:01+03:00</t>
  </si>
  <si>
    <t>5sgsy2002t3s533@marketplace.amazon.sa</t>
  </si>
  <si>
    <t>Masud Rana</t>
  </si>
  <si>
    <t>RNSB2474</t>
  </si>
  <si>
    <t>Riyadh</t>
  </si>
  <si>
    <t>ASA967939869</t>
  </si>
  <si>
    <t>2026-01-03T20:00:00+03:00</t>
  </si>
  <si>
    <t>U3SytsW5j</t>
  </si>
  <si>
    <t>DRdcGvBcDQ0yR</t>
  </si>
  <si>
    <t>2025-12-29T19:13:30+03:00</t>
  </si>
  <si>
    <t>2025-12-29T22:51:47+03:00</t>
  </si>
  <si>
    <t>2025-12-30T01:51:58+03:00</t>
  </si>
  <si>
    <t>hlmh5lq8nz65838@marketplace.amazon.sa</t>
  </si>
  <si>
    <t>Morsy</t>
  </si>
  <si>
    <t>JESB7467, شارع ابن ابي الوفاء</t>
  </si>
  <si>
    <t>جدة</t>
  </si>
  <si>
    <t>مكة المكرمة</t>
  </si>
  <si>
    <t>ASA964843808</t>
  </si>
  <si>
    <t>2025-12-30T20:00:00+03:00</t>
  </si>
  <si>
    <t>UNh8Tt68j</t>
  </si>
  <si>
    <t>Ds7v9LMMDY0MR</t>
  </si>
  <si>
    <t>2025-12-28T17:12:32+03:00</t>
  </si>
  <si>
    <t>2025-12-29T00:46:56+03:00</t>
  </si>
  <si>
    <t>2025-12-29T03:47:06+03:00</t>
  </si>
  <si>
    <t>50md4qkjzyt5v24@marketplace.amazon.sa</t>
  </si>
  <si>
    <t>معيوض سالم الثبيتي</t>
  </si>
  <si>
    <t>TADB3940</t>
  </si>
  <si>
    <t>3940 3</t>
  </si>
  <si>
    <t>At Taif</t>
  </si>
  <si>
    <t>ASA963750282</t>
  </si>
  <si>
    <t>2025-12-29T20:00:00+03:00</t>
  </si>
  <si>
    <t>U6SRgJHHj</t>
  </si>
  <si>
    <t>DJ5FYkV3DS0XR</t>
  </si>
  <si>
    <t>2025-12-26T15:32:54+03:00</t>
  </si>
  <si>
    <t>2025-12-27T20:17:50+03:00</t>
  </si>
  <si>
    <t>2025-12-27T23:18:03+03:00</t>
  </si>
  <si>
    <t>5vv55y5h60628g5@marketplace.amazon.sa</t>
  </si>
  <si>
    <t>Kaled Abo Ahmad</t>
  </si>
  <si>
    <t>سليمان الراجحي</t>
  </si>
  <si>
    <t>الطائف</t>
  </si>
  <si>
    <t>ASA962370423</t>
  </si>
  <si>
    <t>2025-12-28T20:00:00+03:00</t>
  </si>
  <si>
    <t>171-8527689-7013914</t>
  </si>
  <si>
    <t>U35TmslFj</t>
  </si>
  <si>
    <t>D8fYq6ZlDg0DR</t>
  </si>
  <si>
    <t>2025-12-26T01:58:09+03:00</t>
  </si>
  <si>
    <t>2025-12-26T10:29:48+03:00</t>
  </si>
  <si>
    <t>2025-12-26T13:29:58+03:00</t>
  </si>
  <si>
    <t>dxzp889b0k2fdpf@marketplace.amazon.sa</t>
  </si>
  <si>
    <t>محمد سالم</t>
  </si>
  <si>
    <t>شارع الحج</t>
  </si>
  <si>
    <t>MFTA2592</t>
  </si>
  <si>
    <t>ASA960928156</t>
  </si>
  <si>
    <t>2025-12-27T20:00:00+03:00</t>
  </si>
  <si>
    <t>171-4338663-5400319</t>
  </si>
  <si>
    <t>UN9HKPldj</t>
  </si>
  <si>
    <t>Dj9nqjZJD20KR</t>
  </si>
  <si>
    <t>2025-12-26T03:03:23+03:00</t>
  </si>
  <si>
    <t>2025-12-26T10:24:46+03:00</t>
  </si>
  <si>
    <t>2025-12-26T13:24:57+03:00</t>
  </si>
  <si>
    <t>4t54249dkymcxny@marketplace.amazon.sa</t>
  </si>
  <si>
    <t>امين يسرى أبو الفتح عبد الو</t>
  </si>
  <si>
    <t>شارع السابع</t>
  </si>
  <si>
    <t>2971 2</t>
  </si>
  <si>
    <t>الخبر</t>
  </si>
  <si>
    <t>الشرقية</t>
  </si>
  <si>
    <t>EEDE2971</t>
  </si>
  <si>
    <t>ASA960924789</t>
  </si>
  <si>
    <t>407-1767921-5177960</t>
  </si>
  <si>
    <t>U3yt11lmj</t>
  </si>
  <si>
    <t>D87gp2Z8DZ0xR</t>
  </si>
  <si>
    <t>2025-12-25T21:07:18+03:00</t>
  </si>
  <si>
    <t>2025-12-26T08:31:52+03:00</t>
  </si>
  <si>
    <t>2025-12-26T11:32:03+03:00</t>
  </si>
  <si>
    <t>hqp481m1j3kwj5s@marketplace.amazon.sa</t>
  </si>
  <si>
    <t>نوره عبدالله الدوسري</t>
  </si>
  <si>
    <t>V9-XLU4-MMBG</t>
  </si>
  <si>
    <t>Apple (Refurbished) iPhone 13 (128GB) - Midnight</t>
  </si>
  <si>
    <t>النويعمه</t>
  </si>
  <si>
    <t>بقالة الجوهرة الاول</t>
  </si>
  <si>
    <t>حجلة السواد</t>
  </si>
  <si>
    <t>الرياض</t>
  </si>
  <si>
    <t>ARAMEX</t>
  </si>
  <si>
    <r>
      <t xml:space="preserve">if the contract is </t>
    </r>
    <r>
      <rPr>
        <b/>
        <sz val="11"/>
        <color theme="1"/>
        <rFont val="Aptos Narrow"/>
        <family val="2"/>
        <scheme val="minor"/>
      </rPr>
      <t>MPABANGBKLSA</t>
    </r>
    <r>
      <rPr>
        <sz val="11"/>
        <color theme="1"/>
        <rFont val="Aptos Narrow"/>
        <family val="2"/>
        <scheme val="minor"/>
      </rPr>
      <t xml:space="preserve">, &amp; document type is </t>
    </r>
    <r>
      <rPr>
        <b/>
        <sz val="11"/>
        <color theme="1"/>
        <rFont val="Aptos Narrow"/>
        <family val="2"/>
        <scheme val="minor"/>
      </rPr>
      <t>Invoice</t>
    </r>
    <r>
      <rPr>
        <sz val="11"/>
        <color theme="1"/>
        <rFont val="Aptos Narrow"/>
        <family val="2"/>
        <scheme val="minor"/>
      </rPr>
      <t xml:space="preserve">  then it should be buckated as noon KSA.
if the contract is MPABANGBKLSA, &amp; document type is credit note  then it should be buckated as noon KSA return</t>
    </r>
  </si>
  <si>
    <t>If sales channel is amazon.sa it should consider Amazon KSA</t>
  </si>
  <si>
    <t>multiply Price Including VAT (Document Currency) with quantiy for respective order id</t>
  </si>
  <si>
    <t>multiply Item Price  with quantiy for respective order id</t>
  </si>
  <si>
    <t>linked with description check Summary Sheet - templete and create category according to  description  as per the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</si>
</sst>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mm\-d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left"/>
    </xf>
    <xf numFmtId="164" fontId="19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3" fontId="18" fillId="0" borderId="0" xfId="0" applyNumberFormat="1" applyFont="1" applyAlignment="1">
      <alignment horizontal="center"/>
    </xf>
    <xf numFmtId="0" fontId="20" fillId="0" borderId="0" xfId="0" applyFont="1"/>
    <xf numFmtId="164" fontId="19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center"/>
    </xf>
    <xf numFmtId="0" fontId="21" fillId="0" borderId="0" xfId="0" applyFont="1"/>
    <xf numFmtId="0" fontId="19" fillId="0" borderId="0" xfId="0" applyFont="1" applyAlignment="1">
      <alignment horizontal="right"/>
    </xf>
    <xf numFmtId="3" fontId="19" fillId="0" borderId="0" xfId="0" applyNumberFormat="1" applyFont="1" applyAlignment="1">
      <alignment horizontal="right"/>
    </xf>
    <xf numFmtId="0" fontId="19" fillId="0" borderId="0" xfId="0" applyFon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13" fontId="0" fillId="0" borderId="0" xfId="0" applyNumberFormat="1"/>
    <xf numFmtId="0" fontId="19" fillId="0" borderId="0" xfId="0" applyFont="1" applyAlignment="1">
      <alignment wrapText="1"/>
    </xf>
    <xf numFmtId="164" fontId="19" fillId="0" borderId="0" xfId="0" applyNumberFormat="1" applyFont="1" applyAlignment="1">
      <alignment wrapText="1"/>
    </xf>
    <xf numFmtId="3" fontId="19" fillId="0" borderId="0" xfId="0" applyNumberFormat="1" applyFont="1" applyAlignment="1">
      <alignment wrapText="1"/>
    </xf>
    <xf numFmtId="0" fontId="20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49C2-3902-4A9F-9E4F-24D6CEB1B7A4}">
  <dimension ref="B1:F14"/>
  <sheetViews>
    <sheetView tabSelected="1" topLeftCell="A7" workbookViewId="0">
      <selection activeCell="E13" sqref="E13"/>
    </sheetView>
  </sheetViews>
  <sheetFormatPr defaultRowHeight="14.5" x14ac:dyDescent="0.35"/>
  <cols>
    <col min="1" max="1" width="8.7265625" style="15"/>
    <col min="2" max="2" width="22.26953125" style="15" bestFit="1" customWidth="1"/>
    <col min="3" max="3" width="15.1796875" style="15" customWidth="1"/>
    <col min="4" max="4" width="28.36328125" style="15" customWidth="1"/>
    <col min="5" max="5" width="17.08984375" style="15" customWidth="1"/>
    <col min="6" max="6" width="23.36328125" style="15" customWidth="1"/>
    <col min="7" max="16384" width="8.7265625" style="15"/>
  </cols>
  <sheetData>
    <row r="1" spans="2:6" ht="29" x14ac:dyDescent="0.35">
      <c r="B1" s="16" t="s">
        <v>236</v>
      </c>
      <c r="C1" s="16" t="s">
        <v>237</v>
      </c>
      <c r="D1" s="16" t="s">
        <v>238</v>
      </c>
      <c r="E1" s="16" t="s">
        <v>239</v>
      </c>
      <c r="F1" s="16" t="s">
        <v>238</v>
      </c>
    </row>
    <row r="2" spans="2:6" ht="116" x14ac:dyDescent="0.35">
      <c r="B2" s="18" t="s">
        <v>195</v>
      </c>
      <c r="C2" s="15" t="s">
        <v>0</v>
      </c>
      <c r="D2" s="15" t="s">
        <v>403</v>
      </c>
      <c r="E2" t="s">
        <v>293</v>
      </c>
      <c r="F2" s="15" t="s">
        <v>404</v>
      </c>
    </row>
    <row r="3" spans="2:6" x14ac:dyDescent="0.35">
      <c r="B3" s="19" t="s">
        <v>196</v>
      </c>
      <c r="C3" t="s">
        <v>5</v>
      </c>
      <c r="F3" s="15" t="s">
        <v>253</v>
      </c>
    </row>
    <row r="4" spans="2:6" ht="43.5" x14ac:dyDescent="0.35">
      <c r="B4" s="18" t="s">
        <v>197</v>
      </c>
      <c r="D4" s="15" t="s">
        <v>240</v>
      </c>
      <c r="F4" s="15" t="s">
        <v>240</v>
      </c>
    </row>
    <row r="5" spans="2:6" ht="43.5" x14ac:dyDescent="0.35">
      <c r="B5" s="18" t="s">
        <v>198</v>
      </c>
      <c r="D5" s="15" t="s">
        <v>241</v>
      </c>
      <c r="F5" s="15" t="s">
        <v>241</v>
      </c>
    </row>
    <row r="6" spans="2:6" ht="43.5" x14ac:dyDescent="0.35">
      <c r="B6" s="18" t="s">
        <v>199</v>
      </c>
      <c r="D6" s="15" t="s">
        <v>242</v>
      </c>
      <c r="F6" s="15" t="s">
        <v>242</v>
      </c>
    </row>
    <row r="7" spans="2:6" x14ac:dyDescent="0.35">
      <c r="B7" s="18" t="s">
        <v>200</v>
      </c>
      <c r="C7" t="s">
        <v>14</v>
      </c>
      <c r="E7" t="s">
        <v>246</v>
      </c>
    </row>
    <row r="8" spans="2:6" x14ac:dyDescent="0.35">
      <c r="B8" s="18" t="s">
        <v>201</v>
      </c>
      <c r="D8" s="15" t="s">
        <v>243</v>
      </c>
      <c r="F8" s="15" t="s">
        <v>243</v>
      </c>
    </row>
    <row r="9" spans="2:6" x14ac:dyDescent="0.35">
      <c r="B9" s="18" t="s">
        <v>202</v>
      </c>
      <c r="C9" t="s">
        <v>7</v>
      </c>
      <c r="E9" t="s">
        <v>261</v>
      </c>
    </row>
    <row r="10" spans="2:6" ht="87" x14ac:dyDescent="0.35">
      <c r="B10" s="18" t="s">
        <v>203</v>
      </c>
      <c r="D10" s="15" t="s">
        <v>407</v>
      </c>
      <c r="F10" s="15" t="s">
        <v>407</v>
      </c>
    </row>
    <row r="11" spans="2:6" x14ac:dyDescent="0.35">
      <c r="B11" s="18" t="s">
        <v>204</v>
      </c>
      <c r="C11" t="s">
        <v>16</v>
      </c>
      <c r="E11" t="s">
        <v>259</v>
      </c>
    </row>
    <row r="12" spans="2:6" x14ac:dyDescent="0.35">
      <c r="B12" s="18" t="s">
        <v>205</v>
      </c>
      <c r="C12" t="s">
        <v>15</v>
      </c>
      <c r="E12" t="s">
        <v>260</v>
      </c>
    </row>
    <row r="13" spans="2:6" ht="43.5" x14ac:dyDescent="0.35">
      <c r="B13" s="20" t="s">
        <v>206</v>
      </c>
      <c r="D13" s="15" t="s">
        <v>405</v>
      </c>
      <c r="E13"/>
      <c r="F13" s="15" t="s">
        <v>406</v>
      </c>
    </row>
    <row r="14" spans="2:6" x14ac:dyDescent="0.35">
      <c r="B14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5695-5C61-4F27-ABA3-816B8BC43A98}">
  <dimension ref="A1:M32"/>
  <sheetViews>
    <sheetView workbookViewId="0">
      <selection activeCell="F4" sqref="F4"/>
    </sheetView>
  </sheetViews>
  <sheetFormatPr defaultRowHeight="14.5" x14ac:dyDescent="0.35"/>
  <cols>
    <col min="1" max="1" width="15.36328125" bestFit="1" customWidth="1"/>
    <col min="2" max="2" width="10.08984375" bestFit="1" customWidth="1"/>
    <col min="3" max="3" width="8.54296875" bestFit="1" customWidth="1"/>
    <col min="4" max="4" width="12" bestFit="1" customWidth="1"/>
    <col min="5" max="5" width="9.08984375" bestFit="1" customWidth="1"/>
    <col min="6" max="6" width="21.08984375" bestFit="1" customWidth="1"/>
    <col min="7" max="7" width="21.08984375" customWidth="1"/>
    <col min="8" max="8" width="11.08984375" bestFit="1" customWidth="1"/>
    <col min="10" max="10" width="11.08984375" bestFit="1" customWidth="1"/>
    <col min="11" max="11" width="14.1796875" bestFit="1" customWidth="1"/>
    <col min="12" max="12" width="105.54296875" bestFit="1" customWidth="1"/>
    <col min="13" max="13" width="23.36328125" bestFit="1" customWidth="1"/>
  </cols>
  <sheetData>
    <row r="1" spans="1:13" x14ac:dyDescent="0.35">
      <c r="A1" s="2" t="s">
        <v>195</v>
      </c>
      <c r="B1" s="3" t="s">
        <v>196</v>
      </c>
      <c r="C1" s="4" t="s">
        <v>197</v>
      </c>
      <c r="D1" s="5" t="s">
        <v>198</v>
      </c>
      <c r="E1" s="4" t="s">
        <v>199</v>
      </c>
      <c r="F1" s="2" t="s">
        <v>200</v>
      </c>
      <c r="G1" s="2" t="s">
        <v>245</v>
      </c>
      <c r="H1" s="2" t="s">
        <v>201</v>
      </c>
      <c r="I1" s="4" t="s">
        <v>202</v>
      </c>
      <c r="J1" s="2" t="s">
        <v>203</v>
      </c>
      <c r="K1" s="2" t="s">
        <v>204</v>
      </c>
      <c r="L1" s="6" t="s">
        <v>205</v>
      </c>
      <c r="M1" s="7" t="s">
        <v>206</v>
      </c>
    </row>
    <row r="2" spans="1:13" x14ac:dyDescent="0.35">
      <c r="A2" s="8" t="s">
        <v>207</v>
      </c>
      <c r="B2" s="9">
        <v>46018</v>
      </c>
      <c r="C2" s="5">
        <v>27</v>
      </c>
      <c r="D2" s="10">
        <v>46016</v>
      </c>
      <c r="E2" s="5">
        <v>2025</v>
      </c>
      <c r="F2" s="6" t="s">
        <v>189</v>
      </c>
      <c r="G2" s="6" t="str">
        <f>VLOOKUP(F2,'Noon KSA'!O:O,1,0)</f>
        <v>NSAHC0037327791-4-P1</v>
      </c>
      <c r="H2" s="11" t="s">
        <v>208</v>
      </c>
      <c r="I2" s="12">
        <v>1</v>
      </c>
      <c r="J2" s="6" t="s">
        <v>209</v>
      </c>
      <c r="K2" s="6" t="s">
        <v>153</v>
      </c>
      <c r="L2" s="6" t="s">
        <v>210</v>
      </c>
      <c r="M2" s="13">
        <v>699</v>
      </c>
    </row>
    <row r="3" spans="1:13" x14ac:dyDescent="0.35">
      <c r="A3" s="8" t="s">
        <v>207</v>
      </c>
      <c r="B3" s="9">
        <v>46018</v>
      </c>
      <c r="C3" s="5">
        <v>27</v>
      </c>
      <c r="D3" s="10">
        <v>46016</v>
      </c>
      <c r="E3" s="5">
        <v>2025</v>
      </c>
      <c r="F3" s="6" t="s">
        <v>193</v>
      </c>
      <c r="G3" s="6" t="str">
        <f>VLOOKUP(F3,'Noon KSA'!O:O,1,0)</f>
        <v>NSAHC0063312130-2-P1</v>
      </c>
      <c r="H3" s="11" t="s">
        <v>208</v>
      </c>
      <c r="I3" s="12">
        <v>1</v>
      </c>
      <c r="J3" s="6" t="s">
        <v>209</v>
      </c>
      <c r="K3" s="6" t="s">
        <v>153</v>
      </c>
      <c r="L3" s="6" t="s">
        <v>210</v>
      </c>
      <c r="M3" s="13">
        <v>599</v>
      </c>
    </row>
    <row r="4" spans="1:13" x14ac:dyDescent="0.35">
      <c r="A4" s="8" t="s">
        <v>220</v>
      </c>
      <c r="B4" s="9">
        <v>46018</v>
      </c>
      <c r="C4" s="5">
        <v>27</v>
      </c>
      <c r="D4" s="10">
        <v>46016</v>
      </c>
      <c r="E4" s="5">
        <v>2025</v>
      </c>
      <c r="F4" s="6" t="s">
        <v>227</v>
      </c>
      <c r="G4" s="6" t="str">
        <f>VLOOKUP(F4,'Amazon KSA'!A:A,1,0)</f>
        <v>408-5178714-0670729</v>
      </c>
      <c r="H4" s="11" t="s">
        <v>208</v>
      </c>
      <c r="I4" s="12">
        <v>1</v>
      </c>
      <c r="J4" s="6" t="s">
        <v>218</v>
      </c>
      <c r="K4" s="6" t="s">
        <v>222</v>
      </c>
      <c r="L4" s="6" t="s">
        <v>223</v>
      </c>
      <c r="M4" s="13">
        <v>2167</v>
      </c>
    </row>
    <row r="5" spans="1:13" x14ac:dyDescent="0.35">
      <c r="A5" s="8" t="s">
        <v>207</v>
      </c>
      <c r="B5" s="9">
        <v>46019</v>
      </c>
      <c r="C5" s="5">
        <v>28</v>
      </c>
      <c r="D5" s="10">
        <v>46016</v>
      </c>
      <c r="E5" s="5">
        <v>2025</v>
      </c>
      <c r="F5" s="6" t="s">
        <v>151</v>
      </c>
      <c r="G5" s="6" t="str">
        <f>VLOOKUP(F5,'Noon KSA'!O:O,1,0)</f>
        <v>NSAHC0082186765-2-P1</v>
      </c>
      <c r="H5" s="11" t="s">
        <v>208</v>
      </c>
      <c r="I5" s="12">
        <v>1</v>
      </c>
      <c r="J5" s="6" t="s">
        <v>209</v>
      </c>
      <c r="K5" s="6" t="s">
        <v>153</v>
      </c>
      <c r="L5" s="6" t="s">
        <v>210</v>
      </c>
      <c r="M5" s="13">
        <v>699</v>
      </c>
    </row>
    <row r="6" spans="1:13" x14ac:dyDescent="0.35">
      <c r="A6" s="8" t="s">
        <v>207</v>
      </c>
      <c r="B6" s="9">
        <v>46019</v>
      </c>
      <c r="C6" s="5">
        <v>28</v>
      </c>
      <c r="D6" s="10">
        <v>46016</v>
      </c>
      <c r="E6" s="5">
        <v>2025</v>
      </c>
      <c r="F6" s="6" t="s">
        <v>158</v>
      </c>
      <c r="G6" s="6" t="str">
        <f>VLOOKUP(F6,'Noon KSA'!O:O,1,0)</f>
        <v>NSAHC0065081485-3-P1</v>
      </c>
      <c r="H6" s="11" t="s">
        <v>208</v>
      </c>
      <c r="I6" s="12">
        <v>1</v>
      </c>
      <c r="J6" s="6" t="s">
        <v>209</v>
      </c>
      <c r="K6" s="6" t="s">
        <v>160</v>
      </c>
      <c r="L6" s="6" t="s">
        <v>211</v>
      </c>
      <c r="M6" s="13">
        <v>399</v>
      </c>
    </row>
    <row r="7" spans="1:13" x14ac:dyDescent="0.35">
      <c r="A7" s="8" t="s">
        <v>207</v>
      </c>
      <c r="B7" s="9">
        <v>46019</v>
      </c>
      <c r="C7" s="5">
        <v>28</v>
      </c>
      <c r="D7" s="10">
        <v>46016</v>
      </c>
      <c r="E7" s="5">
        <v>2025</v>
      </c>
      <c r="F7" s="6" t="s">
        <v>165</v>
      </c>
      <c r="G7" s="6" t="str">
        <f>VLOOKUP(F7,'Noon KSA'!O:O,1,0)</f>
        <v>NSAHC0010472664-1-P1</v>
      </c>
      <c r="H7" s="11" t="s">
        <v>208</v>
      </c>
      <c r="I7" s="12">
        <v>1</v>
      </c>
      <c r="J7" s="6" t="s">
        <v>209</v>
      </c>
      <c r="K7" s="6" t="s">
        <v>131</v>
      </c>
      <c r="L7" s="6" t="s">
        <v>212</v>
      </c>
      <c r="M7" s="13">
        <v>429</v>
      </c>
    </row>
    <row r="8" spans="1:13" x14ac:dyDescent="0.35">
      <c r="A8" s="8" t="s">
        <v>207</v>
      </c>
      <c r="B8" s="9">
        <v>46019</v>
      </c>
      <c r="C8" s="5">
        <v>28</v>
      </c>
      <c r="D8" s="10">
        <v>46016</v>
      </c>
      <c r="E8" s="5">
        <v>2025</v>
      </c>
      <c r="F8" s="6" t="s">
        <v>170</v>
      </c>
      <c r="G8" s="6" t="str">
        <f>VLOOKUP(F8,'Noon KSA'!O:O,1,0)</f>
        <v>NSAHC0064138549-1-P1</v>
      </c>
      <c r="H8" s="11" t="s">
        <v>208</v>
      </c>
      <c r="I8" s="12">
        <v>1</v>
      </c>
      <c r="J8" s="6" t="s">
        <v>209</v>
      </c>
      <c r="K8" s="6" t="s">
        <v>131</v>
      </c>
      <c r="L8" s="6" t="s">
        <v>212</v>
      </c>
      <c r="M8" s="13">
        <v>429</v>
      </c>
    </row>
    <row r="9" spans="1:13" x14ac:dyDescent="0.35">
      <c r="A9" s="8" t="s">
        <v>207</v>
      </c>
      <c r="B9" s="9">
        <v>46019</v>
      </c>
      <c r="C9" s="5">
        <v>28</v>
      </c>
      <c r="D9" s="10">
        <v>46016</v>
      </c>
      <c r="E9" s="5">
        <v>2025</v>
      </c>
      <c r="F9" s="6" t="s">
        <v>175</v>
      </c>
      <c r="G9" s="6" t="str">
        <f>VLOOKUP(F9,'Noon KSA'!O:O,1,0)</f>
        <v>NSAHC0080314615-1-P1</v>
      </c>
      <c r="H9" s="11" t="s">
        <v>208</v>
      </c>
      <c r="I9" s="12">
        <v>1</v>
      </c>
      <c r="J9" s="6" t="s">
        <v>209</v>
      </c>
      <c r="K9" s="6" t="s">
        <v>160</v>
      </c>
      <c r="L9" s="6" t="s">
        <v>211</v>
      </c>
      <c r="M9" s="13">
        <v>399</v>
      </c>
    </row>
    <row r="10" spans="1:13" x14ac:dyDescent="0.35">
      <c r="A10" s="8" t="s">
        <v>207</v>
      </c>
      <c r="B10" s="9">
        <v>46020</v>
      </c>
      <c r="C10" s="5">
        <v>29</v>
      </c>
      <c r="D10" s="10">
        <v>46016</v>
      </c>
      <c r="E10" s="5">
        <v>2025</v>
      </c>
      <c r="F10" s="6" t="s">
        <v>117</v>
      </c>
      <c r="G10" s="6" t="str">
        <f>VLOOKUP(F10,'Noon KSA'!O:O,1,0)</f>
        <v>NSAHC0007179996-2-P1</v>
      </c>
      <c r="H10" s="11" t="s">
        <v>208</v>
      </c>
      <c r="I10" s="12">
        <v>1</v>
      </c>
      <c r="J10" s="6" t="s">
        <v>209</v>
      </c>
      <c r="K10" s="6" t="s">
        <v>119</v>
      </c>
      <c r="L10" s="6" t="s">
        <v>213</v>
      </c>
      <c r="M10" s="13">
        <v>3189</v>
      </c>
    </row>
    <row r="11" spans="1:13" x14ac:dyDescent="0.35">
      <c r="A11" s="8" t="s">
        <v>207</v>
      </c>
      <c r="B11" s="9">
        <v>46020</v>
      </c>
      <c r="C11" s="5">
        <v>29</v>
      </c>
      <c r="D11" s="10">
        <v>46016</v>
      </c>
      <c r="E11" s="5">
        <v>2025</v>
      </c>
      <c r="F11" s="6" t="s">
        <v>125</v>
      </c>
      <c r="G11" s="6" t="str">
        <f>VLOOKUP(F11,'Noon KSA'!O:O,1,0)</f>
        <v>NSAHC0088492440-1-P1</v>
      </c>
      <c r="H11" s="11" t="s">
        <v>208</v>
      </c>
      <c r="I11" s="12">
        <v>1</v>
      </c>
      <c r="J11" s="6" t="s">
        <v>209</v>
      </c>
      <c r="K11" s="6" t="s">
        <v>113</v>
      </c>
      <c r="L11" s="6" t="s">
        <v>214</v>
      </c>
      <c r="M11" s="13">
        <v>524</v>
      </c>
    </row>
    <row r="12" spans="1:13" x14ac:dyDescent="0.35">
      <c r="A12" s="8" t="s">
        <v>207</v>
      </c>
      <c r="B12" s="9">
        <v>46020</v>
      </c>
      <c r="C12" s="5">
        <v>29</v>
      </c>
      <c r="D12" s="10">
        <v>46016</v>
      </c>
      <c r="E12" s="5">
        <v>2025</v>
      </c>
      <c r="F12" s="6" t="s">
        <v>129</v>
      </c>
      <c r="G12" s="6" t="str">
        <f>VLOOKUP(F12,'Noon KSA'!O:O,1,0)</f>
        <v>NSAHC0084762122-1-P1</v>
      </c>
      <c r="H12" s="11" t="s">
        <v>208</v>
      </c>
      <c r="I12" s="12">
        <v>1</v>
      </c>
      <c r="J12" s="6" t="s">
        <v>209</v>
      </c>
      <c r="K12" s="6" t="s">
        <v>131</v>
      </c>
      <c r="L12" s="6" t="s">
        <v>212</v>
      </c>
      <c r="M12" s="13">
        <v>429</v>
      </c>
    </row>
    <row r="13" spans="1:13" x14ac:dyDescent="0.35">
      <c r="A13" s="8" t="s">
        <v>207</v>
      </c>
      <c r="B13" s="9">
        <v>46020</v>
      </c>
      <c r="C13" s="5">
        <v>29</v>
      </c>
      <c r="D13" s="10">
        <v>46016</v>
      </c>
      <c r="E13" s="5">
        <v>2025</v>
      </c>
      <c r="F13" s="6" t="s">
        <v>133</v>
      </c>
      <c r="G13" s="6" t="str">
        <f>VLOOKUP(F13,'Noon KSA'!O:O,1,0)</f>
        <v>NSAHC0084762122-2-P1</v>
      </c>
      <c r="H13" s="11" t="s">
        <v>208</v>
      </c>
      <c r="I13" s="12">
        <v>2</v>
      </c>
      <c r="J13" s="6" t="s">
        <v>209</v>
      </c>
      <c r="K13" s="6" t="s">
        <v>93</v>
      </c>
      <c r="L13" s="6" t="s">
        <v>215</v>
      </c>
      <c r="M13" s="13">
        <v>398</v>
      </c>
    </row>
    <row r="14" spans="1:13" x14ac:dyDescent="0.35">
      <c r="A14" s="8" t="s">
        <v>207</v>
      </c>
      <c r="B14" s="9">
        <v>46020</v>
      </c>
      <c r="C14" s="5">
        <v>29</v>
      </c>
      <c r="D14" s="10">
        <v>46016</v>
      </c>
      <c r="E14" s="5">
        <v>2025</v>
      </c>
      <c r="F14" s="6" t="s">
        <v>136</v>
      </c>
      <c r="G14" s="6" t="str">
        <f>VLOOKUP(F14,'Noon KSA'!O:O,1,0)</f>
        <v>NSAHC0085871396-1-P1</v>
      </c>
      <c r="H14" s="11" t="s">
        <v>208</v>
      </c>
      <c r="I14" s="12">
        <v>1</v>
      </c>
      <c r="J14" s="6" t="s">
        <v>209</v>
      </c>
      <c r="K14" s="6" t="s">
        <v>138</v>
      </c>
      <c r="L14" s="6" t="s">
        <v>216</v>
      </c>
      <c r="M14" s="13">
        <v>1649</v>
      </c>
    </row>
    <row r="15" spans="1:13" x14ac:dyDescent="0.35">
      <c r="A15" s="8" t="s">
        <v>207</v>
      </c>
      <c r="B15" s="9">
        <v>46020</v>
      </c>
      <c r="C15" s="5">
        <v>29</v>
      </c>
      <c r="D15" s="10">
        <v>46016</v>
      </c>
      <c r="E15" s="5">
        <v>2025</v>
      </c>
      <c r="F15" s="6" t="s">
        <v>107</v>
      </c>
      <c r="G15" s="6" t="str">
        <f>VLOOKUP(F15,'Noon KSA'!O:O,1,0)</f>
        <v>NSAHC0002594656-2-P1</v>
      </c>
      <c r="H15" s="11" t="s">
        <v>208</v>
      </c>
      <c r="I15" s="12">
        <v>1</v>
      </c>
      <c r="J15" s="6" t="s">
        <v>209</v>
      </c>
      <c r="K15" s="6" t="s">
        <v>93</v>
      </c>
      <c r="L15" s="6" t="s">
        <v>215</v>
      </c>
      <c r="M15" s="13">
        <v>398</v>
      </c>
    </row>
    <row r="16" spans="1:13" x14ac:dyDescent="0.35">
      <c r="A16" s="8" t="s">
        <v>207</v>
      </c>
      <c r="B16" s="9">
        <v>46020</v>
      </c>
      <c r="C16" s="5">
        <v>29</v>
      </c>
      <c r="D16" s="10">
        <v>46016</v>
      </c>
      <c r="E16" s="5">
        <v>2025</v>
      </c>
      <c r="F16" s="6" t="s">
        <v>143</v>
      </c>
      <c r="G16" s="6" t="str">
        <f>VLOOKUP(F16,'Noon KSA'!O:O,1,0)</f>
        <v>NSAHC0047546591-1-P1</v>
      </c>
      <c r="H16" s="11" t="s">
        <v>208</v>
      </c>
      <c r="I16" s="12">
        <v>1</v>
      </c>
      <c r="J16" s="6" t="s">
        <v>209</v>
      </c>
      <c r="K16" s="6" t="s">
        <v>93</v>
      </c>
      <c r="L16" s="6" t="s">
        <v>215</v>
      </c>
      <c r="M16" s="13">
        <v>398</v>
      </c>
    </row>
    <row r="17" spans="1:13" x14ac:dyDescent="0.35">
      <c r="A17" s="8" t="s">
        <v>207</v>
      </c>
      <c r="B17" s="9">
        <v>46020</v>
      </c>
      <c r="C17" s="5">
        <v>29</v>
      </c>
      <c r="D17" s="10">
        <v>46016</v>
      </c>
      <c r="E17" s="5">
        <v>2025</v>
      </c>
      <c r="F17" s="6" t="s">
        <v>147</v>
      </c>
      <c r="G17" s="6" t="str">
        <f>VLOOKUP(F17,'Noon KSA'!O:O,1,0)</f>
        <v>NSAHC0032889994-1-P1</v>
      </c>
      <c r="H17" s="11" t="s">
        <v>208</v>
      </c>
      <c r="I17" s="12">
        <v>1</v>
      </c>
      <c r="J17" s="6" t="s">
        <v>209</v>
      </c>
      <c r="K17" s="6" t="s">
        <v>93</v>
      </c>
      <c r="L17" s="6" t="s">
        <v>215</v>
      </c>
      <c r="M17" s="13">
        <v>398</v>
      </c>
    </row>
    <row r="18" spans="1:13" x14ac:dyDescent="0.35">
      <c r="A18" s="8" t="s">
        <v>217</v>
      </c>
      <c r="B18" s="9">
        <v>46020</v>
      </c>
      <c r="C18" s="5">
        <v>29</v>
      </c>
      <c r="D18" s="10">
        <v>46016</v>
      </c>
      <c r="E18" s="5">
        <v>2025</v>
      </c>
      <c r="F18" s="6" t="s">
        <v>180</v>
      </c>
      <c r="G18" s="6" t="str">
        <f>VLOOKUP(F18,'Noon KSA'!O:O,1,0)</f>
        <v>NSAHC0081508707-1-P1</v>
      </c>
      <c r="H18" s="11" t="s">
        <v>208</v>
      </c>
      <c r="I18" s="5">
        <v>-1</v>
      </c>
      <c r="J18" s="6" t="s">
        <v>209</v>
      </c>
      <c r="K18" s="6" t="s">
        <v>153</v>
      </c>
      <c r="L18" s="6" t="s">
        <v>210</v>
      </c>
      <c r="M18" s="13">
        <v>-599</v>
      </c>
    </row>
    <row r="19" spans="1:13" x14ac:dyDescent="0.35">
      <c r="A19" s="8" t="s">
        <v>217</v>
      </c>
      <c r="B19" s="9">
        <v>46020</v>
      </c>
      <c r="C19" s="5">
        <v>29</v>
      </c>
      <c r="D19" s="10">
        <v>46016</v>
      </c>
      <c r="E19" s="5">
        <v>2025</v>
      </c>
      <c r="F19" s="6" t="s">
        <v>185</v>
      </c>
      <c r="G19" s="6" t="str">
        <f>VLOOKUP(F19,'Noon KSA'!O:O,1,0)</f>
        <v>NSAHC0091664187-1-P1</v>
      </c>
      <c r="H19" s="11" t="s">
        <v>208</v>
      </c>
      <c r="I19" s="5">
        <v>-1</v>
      </c>
      <c r="J19" s="6" t="s">
        <v>218</v>
      </c>
      <c r="K19" s="6" t="s">
        <v>76</v>
      </c>
      <c r="L19" s="6" t="s">
        <v>219</v>
      </c>
      <c r="M19" s="13">
        <v>-2399</v>
      </c>
    </row>
    <row r="20" spans="1:13" x14ac:dyDescent="0.35">
      <c r="A20" s="8" t="s">
        <v>220</v>
      </c>
      <c r="B20" s="9">
        <v>46020</v>
      </c>
      <c r="C20" s="5">
        <v>29</v>
      </c>
      <c r="D20" s="10">
        <v>46016</v>
      </c>
      <c r="E20" s="5">
        <v>2025</v>
      </c>
      <c r="F20" s="6" t="s">
        <v>221</v>
      </c>
      <c r="G20" s="6" t="str">
        <f>VLOOKUP(F20,'Amazon KSA'!A:A,1,0)</f>
        <v>405-4010753-1240312</v>
      </c>
      <c r="H20" s="11" t="s">
        <v>208</v>
      </c>
      <c r="I20" s="12">
        <v>1</v>
      </c>
      <c r="J20" s="6" t="s">
        <v>218</v>
      </c>
      <c r="K20" s="6" t="s">
        <v>222</v>
      </c>
      <c r="L20" s="6" t="s">
        <v>223</v>
      </c>
      <c r="M20" s="13">
        <v>2098</v>
      </c>
    </row>
    <row r="21" spans="1:13" x14ac:dyDescent="0.35">
      <c r="A21" s="8" t="s">
        <v>220</v>
      </c>
      <c r="B21" s="9">
        <v>46020</v>
      </c>
      <c r="C21" s="5">
        <v>29</v>
      </c>
      <c r="D21" s="10">
        <v>46016</v>
      </c>
      <c r="E21" s="5">
        <v>2025</v>
      </c>
      <c r="F21" s="6" t="s">
        <v>224</v>
      </c>
      <c r="G21" s="6" t="str">
        <f>VLOOKUP(F21,'Amazon KSA'!A:A,1,0)</f>
        <v>405-3980961-9785131</v>
      </c>
      <c r="H21" s="11" t="s">
        <v>208</v>
      </c>
      <c r="I21" s="12">
        <v>1</v>
      </c>
      <c r="J21" s="6" t="s">
        <v>218</v>
      </c>
      <c r="K21" s="6" t="s">
        <v>225</v>
      </c>
      <c r="L21" s="6" t="s">
        <v>226</v>
      </c>
      <c r="M21" s="13">
        <v>1776</v>
      </c>
    </row>
    <row r="22" spans="1:13" x14ac:dyDescent="0.35">
      <c r="A22" s="8" t="s">
        <v>207</v>
      </c>
      <c r="B22" s="9">
        <v>46021</v>
      </c>
      <c r="C22" s="5">
        <v>30</v>
      </c>
      <c r="D22" s="10">
        <v>46016</v>
      </c>
      <c r="E22" s="5">
        <v>2025</v>
      </c>
      <c r="F22" s="6" t="s">
        <v>111</v>
      </c>
      <c r="G22" s="6" t="str">
        <f>VLOOKUP(F22,'Noon KSA'!O:O,1,0)</f>
        <v>NSAHC0017132006-2-P1</v>
      </c>
      <c r="H22" s="11" t="s">
        <v>208</v>
      </c>
      <c r="I22" s="12">
        <v>1</v>
      </c>
      <c r="J22" s="6" t="s">
        <v>209</v>
      </c>
      <c r="K22" s="6" t="s">
        <v>113</v>
      </c>
      <c r="L22" s="6" t="s">
        <v>214</v>
      </c>
      <c r="M22" s="13">
        <v>524</v>
      </c>
    </row>
    <row r="23" spans="1:13" x14ac:dyDescent="0.35">
      <c r="A23" s="8" t="s">
        <v>207</v>
      </c>
      <c r="B23" s="9">
        <v>46022</v>
      </c>
      <c r="C23" s="5">
        <v>31</v>
      </c>
      <c r="D23" s="10">
        <v>46016</v>
      </c>
      <c r="E23" s="5">
        <v>2025</v>
      </c>
      <c r="F23" s="14" t="s">
        <v>91</v>
      </c>
      <c r="G23" s="6" t="str">
        <f>VLOOKUP(F23,'Noon KSA'!O:O,1,0)</f>
        <v>NSAHC0013207023-1-P1</v>
      </c>
      <c r="H23" s="11" t="s">
        <v>208</v>
      </c>
      <c r="I23" s="12">
        <v>1</v>
      </c>
      <c r="J23" s="6" t="s">
        <v>209</v>
      </c>
      <c r="K23" s="14" t="s">
        <v>93</v>
      </c>
      <c r="L23" s="14" t="s">
        <v>215</v>
      </c>
      <c r="M23" s="13">
        <v>398</v>
      </c>
    </row>
    <row r="24" spans="1:13" x14ac:dyDescent="0.35">
      <c r="A24" s="8" t="s">
        <v>207</v>
      </c>
      <c r="B24" s="9">
        <v>46022</v>
      </c>
      <c r="C24" s="5">
        <v>31</v>
      </c>
      <c r="D24" s="10">
        <v>46016</v>
      </c>
      <c r="E24" s="5">
        <v>2025</v>
      </c>
      <c r="F24" s="14" t="s">
        <v>98</v>
      </c>
      <c r="G24" s="6" t="str">
        <f>VLOOKUP(F24,'Noon KSA'!O:O,1,0)</f>
        <v>NSAHC0053527539-1-P1</v>
      </c>
      <c r="H24" s="11" t="s">
        <v>208</v>
      </c>
      <c r="I24" s="12">
        <v>1</v>
      </c>
      <c r="J24" s="6" t="s">
        <v>209</v>
      </c>
      <c r="K24" s="14" t="s">
        <v>100</v>
      </c>
      <c r="L24" s="14" t="s">
        <v>230</v>
      </c>
      <c r="M24" s="13">
        <v>2599</v>
      </c>
    </row>
    <row r="25" spans="1:13" x14ac:dyDescent="0.35">
      <c r="A25" s="8" t="s">
        <v>207</v>
      </c>
      <c r="B25" s="9">
        <v>46023</v>
      </c>
      <c r="C25" s="5">
        <v>1</v>
      </c>
      <c r="D25" s="10">
        <v>46048</v>
      </c>
      <c r="E25" s="5">
        <v>2026</v>
      </c>
      <c r="F25" s="14" t="s">
        <v>50</v>
      </c>
      <c r="G25" s="6" t="str">
        <f>VLOOKUP(F25,'Noon KSA'!O:O,1,0)</f>
        <v>NSAHC0047226333-2-P1</v>
      </c>
      <c r="H25" s="11" t="s">
        <v>208</v>
      </c>
      <c r="I25" s="12">
        <v>1</v>
      </c>
      <c r="J25" s="6" t="s">
        <v>209</v>
      </c>
      <c r="K25" s="14" t="s">
        <v>52</v>
      </c>
      <c r="L25" s="14" t="s">
        <v>231</v>
      </c>
      <c r="M25" s="13">
        <v>499</v>
      </c>
    </row>
    <row r="26" spans="1:13" x14ac:dyDescent="0.35">
      <c r="A26" s="8" t="s">
        <v>207</v>
      </c>
      <c r="B26" s="9">
        <v>46023</v>
      </c>
      <c r="C26" s="5">
        <v>1</v>
      </c>
      <c r="D26" s="10">
        <v>46048</v>
      </c>
      <c r="E26" s="5">
        <v>2026</v>
      </c>
      <c r="F26" s="14" t="s">
        <v>62</v>
      </c>
      <c r="G26" s="6" t="str">
        <f>VLOOKUP(F26,'Noon KSA'!O:O,1,0)</f>
        <v>NSAHC0083560251-1-P1</v>
      </c>
      <c r="H26" s="11" t="s">
        <v>208</v>
      </c>
      <c r="I26" s="12">
        <v>1</v>
      </c>
      <c r="J26" s="6" t="s">
        <v>209</v>
      </c>
      <c r="K26" s="14" t="s">
        <v>52</v>
      </c>
      <c r="L26" s="14" t="s">
        <v>231</v>
      </c>
      <c r="M26" s="13">
        <v>499</v>
      </c>
    </row>
    <row r="27" spans="1:13" x14ac:dyDescent="0.35">
      <c r="A27" s="8" t="s">
        <v>207</v>
      </c>
      <c r="B27" s="9">
        <v>46023</v>
      </c>
      <c r="C27" s="5">
        <v>1</v>
      </c>
      <c r="D27" s="10">
        <v>46048</v>
      </c>
      <c r="E27" s="5">
        <v>2026</v>
      </c>
      <c r="F27" s="14" t="s">
        <v>67</v>
      </c>
      <c r="G27" s="6" t="str">
        <f>VLOOKUP(F27,'Noon KSA'!O:O,1,0)</f>
        <v>NSAHC0047023168-1-P1</v>
      </c>
      <c r="H27" s="11" t="s">
        <v>208</v>
      </c>
      <c r="I27" s="12">
        <v>1</v>
      </c>
      <c r="J27" s="6" t="s">
        <v>209</v>
      </c>
      <c r="K27" s="14" t="s">
        <v>69</v>
      </c>
      <c r="L27" s="14" t="s">
        <v>228</v>
      </c>
      <c r="M27" s="13">
        <v>449</v>
      </c>
    </row>
    <row r="28" spans="1:13" x14ac:dyDescent="0.35">
      <c r="A28" s="8" t="s">
        <v>207</v>
      </c>
      <c r="B28" s="9">
        <v>46023</v>
      </c>
      <c r="C28" s="5">
        <v>1</v>
      </c>
      <c r="D28" s="10">
        <v>46048</v>
      </c>
      <c r="E28" s="5">
        <v>2026</v>
      </c>
      <c r="F28" s="14" t="s">
        <v>74</v>
      </c>
      <c r="G28" s="6" t="str">
        <f>VLOOKUP(F28,'Noon KSA'!O:O,1,0)</f>
        <v>NSAHC0001494244-1-P1</v>
      </c>
      <c r="H28" s="11" t="s">
        <v>208</v>
      </c>
      <c r="I28" s="12">
        <v>1</v>
      </c>
      <c r="J28" s="6" t="s">
        <v>218</v>
      </c>
      <c r="K28" s="14" t="s">
        <v>76</v>
      </c>
      <c r="L28" s="14" t="s">
        <v>219</v>
      </c>
      <c r="M28" s="13">
        <v>2298</v>
      </c>
    </row>
    <row r="29" spans="1:13" x14ac:dyDescent="0.35">
      <c r="A29" s="8" t="s">
        <v>207</v>
      </c>
      <c r="B29" s="9">
        <v>46023</v>
      </c>
      <c r="C29" s="5">
        <v>1</v>
      </c>
      <c r="D29" s="10">
        <v>46048</v>
      </c>
      <c r="E29" s="5">
        <v>2026</v>
      </c>
      <c r="F29" s="14" t="s">
        <v>80</v>
      </c>
      <c r="G29" s="6" t="str">
        <f>VLOOKUP(F29,'Noon KSA'!O:O,1,0)</f>
        <v>NSAHC0000707946-1-P1</v>
      </c>
      <c r="H29" s="11" t="s">
        <v>208</v>
      </c>
      <c r="I29" s="12">
        <v>1</v>
      </c>
      <c r="J29" s="6" t="s">
        <v>218</v>
      </c>
      <c r="K29" s="14" t="s">
        <v>82</v>
      </c>
      <c r="L29" s="14" t="s">
        <v>229</v>
      </c>
      <c r="M29" s="13">
        <v>2262</v>
      </c>
    </row>
    <row r="30" spans="1:13" x14ac:dyDescent="0.35">
      <c r="A30" s="8" t="s">
        <v>207</v>
      </c>
      <c r="B30" s="9">
        <v>46023</v>
      </c>
      <c r="C30" s="5">
        <v>1</v>
      </c>
      <c r="D30" s="10">
        <v>46048</v>
      </c>
      <c r="E30" s="5">
        <v>2026</v>
      </c>
      <c r="F30" s="14" t="s">
        <v>87</v>
      </c>
      <c r="G30" s="6" t="str">
        <f>VLOOKUP(F30,'Noon KSA'!O:O,1,0)</f>
        <v>NSAHC0082879023-1-P1</v>
      </c>
      <c r="H30" s="11" t="s">
        <v>208</v>
      </c>
      <c r="I30" s="12">
        <v>1</v>
      </c>
      <c r="J30" s="6" t="s">
        <v>209</v>
      </c>
      <c r="K30" s="14" t="s">
        <v>69</v>
      </c>
      <c r="L30" s="14" t="s">
        <v>228</v>
      </c>
      <c r="M30" s="13">
        <v>449</v>
      </c>
    </row>
    <row r="31" spans="1:13" x14ac:dyDescent="0.35">
      <c r="A31" s="8" t="s">
        <v>220</v>
      </c>
      <c r="B31" s="9">
        <v>46023</v>
      </c>
      <c r="C31" s="5">
        <v>1</v>
      </c>
      <c r="D31" s="10">
        <v>46048</v>
      </c>
      <c r="E31" s="5">
        <v>2026</v>
      </c>
      <c r="F31" s="6" t="s">
        <v>232</v>
      </c>
      <c r="G31" s="6" t="str">
        <f>VLOOKUP(F31,'Amazon KSA'!A:A,1,0)</f>
        <v>406-8433320-8808338</v>
      </c>
      <c r="H31" s="11" t="s">
        <v>208</v>
      </c>
      <c r="I31" s="12">
        <v>1</v>
      </c>
      <c r="J31" s="6" t="s">
        <v>218</v>
      </c>
      <c r="K31" s="6" t="s">
        <v>233</v>
      </c>
      <c r="L31" s="6" t="s">
        <v>234</v>
      </c>
      <c r="M31" s="13">
        <v>2124</v>
      </c>
    </row>
    <row r="32" spans="1:13" x14ac:dyDescent="0.35">
      <c r="A32" s="8" t="s">
        <v>220</v>
      </c>
      <c r="B32" s="9">
        <v>46023</v>
      </c>
      <c r="C32" s="5">
        <v>1</v>
      </c>
      <c r="D32" s="10">
        <v>46048</v>
      </c>
      <c r="E32" s="5">
        <v>2026</v>
      </c>
      <c r="F32" s="6" t="s">
        <v>235</v>
      </c>
      <c r="G32" s="6" t="str">
        <f>VLOOKUP(F32,'Amazon KSA'!A:A,1,0)</f>
        <v>404-3161102-5796340</v>
      </c>
      <c r="H32" s="11" t="s">
        <v>208</v>
      </c>
      <c r="I32" s="12">
        <v>1</v>
      </c>
      <c r="J32" s="6" t="s">
        <v>218</v>
      </c>
      <c r="K32" s="6" t="s">
        <v>233</v>
      </c>
      <c r="L32" s="6" t="s">
        <v>234</v>
      </c>
      <c r="M32" s="13">
        <v>2124</v>
      </c>
    </row>
  </sheetData>
  <dataValidations disablePrompts="1" count="2">
    <dataValidation type="list" allowBlank="1" showErrorMessage="1" sqref="A2:A32" xr:uid="{8D1E7DBA-FFFD-4B58-8BEF-45DA058197FE}">
      <formula1>"Amazon,Cartlow UAE,Cartlow Return,Noon UAE,Noon UAE Return,Noon KSA,Noon KSA Return,Revent UAE,Revent KSA,Revent UAE Return,Revent KSA Return,Trade UAE,Trade KSA,Revent Retail,Popsy,Cartlow B2B,Cartlow KSA,Amazon KSA,Amazon KSA Return,Popsy KSA,Popsy UAE,"&amp;"Popsy KSA Return,Popsy UAE Return,Amazon UAE,Amazon UAE Return,Soum,Dubizzle,Cartlow UAE Return,Noon KSA 2,Noon KSA Return 2"</formula1>
    </dataValidation>
    <dataValidation type="list" allowBlank="1" showErrorMessage="1" sqref="J2:J32" xr:uid="{D449C776-1B43-4F4E-BBFE-1E2C45614619}">
      <formula1>"Smartphone,Tablet,Laptop,Others"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0A17-1BBA-401D-B9F9-4BE40D169484}">
  <dimension ref="A1:AV9"/>
  <sheetViews>
    <sheetView topLeftCell="N1" workbookViewId="0">
      <selection activeCell="R1" sqref="R1"/>
    </sheetView>
  </sheetViews>
  <sheetFormatPr defaultRowHeight="14.5" x14ac:dyDescent="0.35"/>
  <cols>
    <col min="1" max="1" width="19.26953125" bestFit="1" customWidth="1"/>
    <col min="2" max="2" width="15.453125" bestFit="1" customWidth="1"/>
    <col min="3" max="3" width="10.54296875" bestFit="1" customWidth="1"/>
    <col min="4" max="4" width="15.54296875" bestFit="1" customWidth="1"/>
    <col min="5" max="5" width="18.26953125" bestFit="1" customWidth="1"/>
    <col min="6" max="6" width="19.54296875" bestFit="1" customWidth="1"/>
    <col min="7" max="10" width="23.90625" bestFit="1" customWidth="1"/>
    <col min="11" max="11" width="37.08984375" bestFit="1" customWidth="1"/>
    <col min="12" max="12" width="19.1796875" bestFit="1" customWidth="1"/>
    <col min="13" max="13" width="17.81640625" bestFit="1" customWidth="1"/>
    <col min="14" max="14" width="13.7265625" bestFit="1" customWidth="1"/>
    <col min="15" max="15" width="52.08984375" bestFit="1" customWidth="1"/>
    <col min="16" max="16" width="14.6328125" bestFit="1" customWidth="1"/>
    <col min="17" max="17" width="8.1796875" bestFit="1" customWidth="1"/>
    <col min="18" max="18" width="13.7265625" customWidth="1"/>
    <col min="19" max="19" width="7.54296875" bestFit="1" customWidth="1"/>
    <col min="20" max="20" width="12.1796875" bestFit="1" customWidth="1"/>
    <col min="21" max="21" width="10.7265625" bestFit="1" customWidth="1"/>
    <col min="22" max="22" width="13" bestFit="1" customWidth="1"/>
    <col min="23" max="23" width="11.453125" bestFit="1" customWidth="1"/>
    <col min="24" max="24" width="15.1796875" bestFit="1" customWidth="1"/>
    <col min="25" max="25" width="19.1796875" bestFit="1" customWidth="1"/>
    <col min="26" max="26" width="33.08984375" bestFit="1" customWidth="1"/>
    <col min="27" max="27" width="27.453125" bestFit="1" customWidth="1"/>
    <col min="28" max="28" width="16" bestFit="1" customWidth="1"/>
    <col min="29" max="29" width="11.1796875" bestFit="1" customWidth="1"/>
    <col min="30" max="30" width="12.26953125" bestFit="1" customWidth="1"/>
    <col min="31" max="31" width="17.90625" bestFit="1" customWidth="1"/>
    <col min="32" max="32" width="19.1796875" bestFit="1" customWidth="1"/>
    <col min="33" max="33" width="20.08984375" bestFit="1" customWidth="1"/>
    <col min="34" max="34" width="22.7265625" bestFit="1" customWidth="1"/>
    <col min="35" max="35" width="20.6328125" bestFit="1" customWidth="1"/>
    <col min="36" max="36" width="14" bestFit="1" customWidth="1"/>
    <col min="37" max="37" width="9.1796875" bestFit="1" customWidth="1"/>
    <col min="38" max="38" width="10.26953125" bestFit="1" customWidth="1"/>
    <col min="39" max="39" width="13.54296875" bestFit="1" customWidth="1"/>
    <col min="40" max="40" width="9.90625" bestFit="1" customWidth="1"/>
    <col min="41" max="41" width="17.90625" bestFit="1" customWidth="1"/>
    <col min="42" max="42" width="22" bestFit="1" customWidth="1"/>
    <col min="43" max="43" width="7.54296875" bestFit="1" customWidth="1"/>
    <col min="44" max="44" width="14.54296875" bestFit="1" customWidth="1"/>
    <col min="45" max="45" width="23.90625" bestFit="1" customWidth="1"/>
    <col min="46" max="46" width="4.7265625" bestFit="1" customWidth="1"/>
    <col min="47" max="47" width="16.54296875" bestFit="1" customWidth="1"/>
    <col min="48" max="48" width="12.26953125" bestFit="1" customWidth="1"/>
  </cols>
  <sheetData>
    <row r="1" spans="1:48" x14ac:dyDescent="0.35">
      <c r="A1" t="s">
        <v>246</v>
      </c>
      <c r="B1" t="s">
        <v>247</v>
      </c>
      <c r="C1" t="s">
        <v>248</v>
      </c>
      <c r="D1" t="s">
        <v>249</v>
      </c>
      <c r="E1" t="s">
        <v>250</v>
      </c>
      <c r="F1" t="s">
        <v>251</v>
      </c>
      <c r="G1" t="s">
        <v>252</v>
      </c>
      <c r="H1" t="s">
        <v>253</v>
      </c>
      <c r="I1" t="s">
        <v>254</v>
      </c>
      <c r="J1" t="s">
        <v>255</v>
      </c>
      <c r="K1" t="s">
        <v>256</v>
      </c>
      <c r="L1" t="s">
        <v>257</v>
      </c>
      <c r="M1" t="s">
        <v>258</v>
      </c>
      <c r="N1" t="s">
        <v>259</v>
      </c>
      <c r="O1" t="s">
        <v>260</v>
      </c>
      <c r="P1" t="s">
        <v>261</v>
      </c>
      <c r="Q1" t="s">
        <v>262</v>
      </c>
      <c r="R1" t="s">
        <v>263</v>
      </c>
      <c r="S1" t="s">
        <v>264</v>
      </c>
      <c r="T1" t="s">
        <v>265</v>
      </c>
      <c r="U1" t="s">
        <v>266</v>
      </c>
      <c r="V1" t="s">
        <v>267</v>
      </c>
      <c r="W1" t="s">
        <v>268</v>
      </c>
      <c r="X1" t="s">
        <v>269</v>
      </c>
      <c r="Y1" t="s">
        <v>270</v>
      </c>
      <c r="Z1" t="s">
        <v>271</v>
      </c>
      <c r="AA1" t="s">
        <v>272</v>
      </c>
      <c r="AB1" t="s">
        <v>273</v>
      </c>
      <c r="AC1" t="s">
        <v>274</v>
      </c>
      <c r="AD1" t="s">
        <v>275</v>
      </c>
      <c r="AE1" t="s">
        <v>276</v>
      </c>
      <c r="AF1" t="s">
        <v>277</v>
      </c>
      <c r="AG1" t="s">
        <v>278</v>
      </c>
      <c r="AH1" t="s">
        <v>279</v>
      </c>
      <c r="AI1" t="s">
        <v>280</v>
      </c>
      <c r="AJ1" t="s">
        <v>281</v>
      </c>
      <c r="AK1" t="s">
        <v>282</v>
      </c>
      <c r="AL1" t="s">
        <v>283</v>
      </c>
      <c r="AM1" t="s">
        <v>284</v>
      </c>
      <c r="AN1" t="s">
        <v>285</v>
      </c>
      <c r="AO1" t="s">
        <v>286</v>
      </c>
      <c r="AP1" t="s">
        <v>287</v>
      </c>
      <c r="AQ1" t="s">
        <v>288</v>
      </c>
      <c r="AR1" t="s">
        <v>289</v>
      </c>
      <c r="AS1" t="s">
        <v>290</v>
      </c>
      <c r="AT1" t="s">
        <v>291</v>
      </c>
      <c r="AU1" t="s">
        <v>292</v>
      </c>
      <c r="AV1" t="s">
        <v>293</v>
      </c>
    </row>
    <row r="2" spans="1:48" x14ac:dyDescent="0.35">
      <c r="A2" t="s">
        <v>232</v>
      </c>
      <c r="C2" t="s">
        <v>294</v>
      </c>
      <c r="D2" t="s">
        <v>295</v>
      </c>
      <c r="E2">
        <v>58853211395122</v>
      </c>
      <c r="G2" t="s">
        <v>296</v>
      </c>
      <c r="H2" t="s">
        <v>297</v>
      </c>
      <c r="I2" t="s">
        <v>297</v>
      </c>
      <c r="J2" t="s">
        <v>298</v>
      </c>
      <c r="K2" t="s">
        <v>299</v>
      </c>
      <c r="L2" t="s">
        <v>300</v>
      </c>
      <c r="N2" t="s">
        <v>233</v>
      </c>
      <c r="O2" t="s">
        <v>234</v>
      </c>
      <c r="P2">
        <v>1</v>
      </c>
      <c r="Q2" t="s">
        <v>59</v>
      </c>
      <c r="R2">
        <v>2124</v>
      </c>
      <c r="S2">
        <v>0</v>
      </c>
      <c r="T2">
        <v>12</v>
      </c>
      <c r="U2">
        <v>0</v>
      </c>
      <c r="V2">
        <v>0</v>
      </c>
      <c r="W2">
        <v>0</v>
      </c>
      <c r="X2" t="s">
        <v>301</v>
      </c>
      <c r="Y2" t="s">
        <v>302</v>
      </c>
      <c r="Z2" t="s">
        <v>303</v>
      </c>
      <c r="AA2" t="s">
        <v>304</v>
      </c>
      <c r="AC2" t="s">
        <v>305</v>
      </c>
      <c r="AD2" t="s">
        <v>306</v>
      </c>
      <c r="AE2" t="s">
        <v>307</v>
      </c>
      <c r="AF2" t="s">
        <v>55</v>
      </c>
      <c r="AH2" t="s">
        <v>308</v>
      </c>
      <c r="AI2" t="s">
        <v>309</v>
      </c>
      <c r="AK2" t="s">
        <v>305</v>
      </c>
      <c r="AL2" t="s">
        <v>306</v>
      </c>
      <c r="AM2" t="s">
        <v>307</v>
      </c>
      <c r="AN2" t="s">
        <v>55</v>
      </c>
      <c r="AO2">
        <v>0</v>
      </c>
      <c r="AP2">
        <v>-12</v>
      </c>
      <c r="AQ2" t="s">
        <v>310</v>
      </c>
      <c r="AR2" t="s">
        <v>311</v>
      </c>
      <c r="AS2" t="s">
        <v>312</v>
      </c>
      <c r="AT2" t="s">
        <v>313</v>
      </c>
      <c r="AU2" t="s">
        <v>314</v>
      </c>
      <c r="AV2" t="s">
        <v>315</v>
      </c>
    </row>
    <row r="3" spans="1:48" x14ac:dyDescent="0.35">
      <c r="A3" t="s">
        <v>235</v>
      </c>
      <c r="C3" t="s">
        <v>316</v>
      </c>
      <c r="D3" t="s">
        <v>317</v>
      </c>
      <c r="E3">
        <v>58840085125642</v>
      </c>
      <c r="G3" t="s">
        <v>318</v>
      </c>
      <c r="H3" t="s">
        <v>319</v>
      </c>
      <c r="I3" t="s">
        <v>319</v>
      </c>
      <c r="J3" t="s">
        <v>320</v>
      </c>
      <c r="K3" t="s">
        <v>321</v>
      </c>
      <c r="L3" t="s">
        <v>322</v>
      </c>
      <c r="N3" t="s">
        <v>233</v>
      </c>
      <c r="O3" t="s">
        <v>234</v>
      </c>
      <c r="P3">
        <v>1</v>
      </c>
      <c r="Q3" t="s">
        <v>59</v>
      </c>
      <c r="R3">
        <v>2124</v>
      </c>
      <c r="S3">
        <v>0</v>
      </c>
      <c r="T3">
        <v>12</v>
      </c>
      <c r="U3">
        <v>0</v>
      </c>
      <c r="V3">
        <v>0</v>
      </c>
      <c r="W3">
        <v>0</v>
      </c>
      <c r="X3" t="s">
        <v>301</v>
      </c>
      <c r="Y3" t="s">
        <v>322</v>
      </c>
      <c r="Z3" t="s">
        <v>323</v>
      </c>
      <c r="AA3">
        <v>2474</v>
      </c>
      <c r="AC3" t="s">
        <v>324</v>
      </c>
      <c r="AD3" t="s">
        <v>324</v>
      </c>
      <c r="AE3" t="s">
        <v>307</v>
      </c>
      <c r="AF3" t="s">
        <v>55</v>
      </c>
      <c r="AH3" t="s">
        <v>323</v>
      </c>
      <c r="AI3">
        <v>2474</v>
      </c>
      <c r="AK3" t="s">
        <v>324</v>
      </c>
      <c r="AL3" t="s">
        <v>324</v>
      </c>
      <c r="AM3" t="s">
        <v>307</v>
      </c>
      <c r="AN3" t="s">
        <v>55</v>
      </c>
      <c r="AO3">
        <v>0</v>
      </c>
      <c r="AP3">
        <v>-12</v>
      </c>
      <c r="AQ3" t="s">
        <v>310</v>
      </c>
      <c r="AR3" t="s">
        <v>325</v>
      </c>
      <c r="AS3" t="s">
        <v>326</v>
      </c>
      <c r="AT3" t="s">
        <v>313</v>
      </c>
      <c r="AU3" t="s">
        <v>314</v>
      </c>
      <c r="AV3" t="s">
        <v>315</v>
      </c>
    </row>
    <row r="4" spans="1:48" x14ac:dyDescent="0.35">
      <c r="A4" t="s">
        <v>221</v>
      </c>
      <c r="C4" t="s">
        <v>327</v>
      </c>
      <c r="D4" t="s">
        <v>328</v>
      </c>
      <c r="E4">
        <v>58677921993602</v>
      </c>
      <c r="G4" t="s">
        <v>329</v>
      </c>
      <c r="H4" t="s">
        <v>330</v>
      </c>
      <c r="I4" t="s">
        <v>330</v>
      </c>
      <c r="J4" t="s">
        <v>331</v>
      </c>
      <c r="K4" t="s">
        <v>332</v>
      </c>
      <c r="L4" t="s">
        <v>333</v>
      </c>
      <c r="N4" t="s">
        <v>222</v>
      </c>
      <c r="O4" t="s">
        <v>223</v>
      </c>
      <c r="P4">
        <v>1</v>
      </c>
      <c r="Q4" t="s">
        <v>59</v>
      </c>
      <c r="R4">
        <v>2098</v>
      </c>
      <c r="S4">
        <v>0</v>
      </c>
      <c r="T4">
        <v>12</v>
      </c>
      <c r="U4">
        <v>0</v>
      </c>
      <c r="V4">
        <v>0</v>
      </c>
      <c r="W4">
        <v>0</v>
      </c>
      <c r="X4" t="s">
        <v>301</v>
      </c>
      <c r="Y4" t="s">
        <v>333</v>
      </c>
      <c r="Z4" t="s">
        <v>334</v>
      </c>
      <c r="AA4" s="17">
        <v>7467.105263157895</v>
      </c>
      <c r="AC4" t="s">
        <v>335</v>
      </c>
      <c r="AD4" t="s">
        <v>336</v>
      </c>
      <c r="AE4" t="s">
        <v>307</v>
      </c>
      <c r="AF4" t="s">
        <v>55</v>
      </c>
      <c r="AH4" t="s">
        <v>334</v>
      </c>
      <c r="AI4" s="17">
        <v>7467.105263157895</v>
      </c>
      <c r="AK4" t="s">
        <v>335</v>
      </c>
      <c r="AL4" t="s">
        <v>336</v>
      </c>
      <c r="AM4" t="s">
        <v>307</v>
      </c>
      <c r="AN4" t="s">
        <v>55</v>
      </c>
      <c r="AO4">
        <v>0</v>
      </c>
      <c r="AP4">
        <v>-12</v>
      </c>
      <c r="AQ4" t="s">
        <v>310</v>
      </c>
      <c r="AR4" t="s">
        <v>337</v>
      </c>
      <c r="AS4" t="s">
        <v>338</v>
      </c>
      <c r="AT4" t="s">
        <v>313</v>
      </c>
      <c r="AU4" t="s">
        <v>314</v>
      </c>
      <c r="AV4" t="s">
        <v>315</v>
      </c>
    </row>
    <row r="5" spans="1:48" x14ac:dyDescent="0.35">
      <c r="A5" t="s">
        <v>224</v>
      </c>
      <c r="C5" t="s">
        <v>339</v>
      </c>
      <c r="D5" t="s">
        <v>340</v>
      </c>
      <c r="E5">
        <v>58646280692642</v>
      </c>
      <c r="G5" t="s">
        <v>341</v>
      </c>
      <c r="H5" t="s">
        <v>342</v>
      </c>
      <c r="I5" t="s">
        <v>342</v>
      </c>
      <c r="J5" t="s">
        <v>343</v>
      </c>
      <c r="K5" t="s">
        <v>344</v>
      </c>
      <c r="L5" t="s">
        <v>345</v>
      </c>
      <c r="N5" t="s">
        <v>225</v>
      </c>
      <c r="O5" t="s">
        <v>226</v>
      </c>
      <c r="P5">
        <v>1</v>
      </c>
      <c r="Q5" t="s">
        <v>59</v>
      </c>
      <c r="R5">
        <v>1776</v>
      </c>
      <c r="S5">
        <v>0</v>
      </c>
      <c r="T5">
        <v>12</v>
      </c>
      <c r="U5">
        <v>0</v>
      </c>
      <c r="V5">
        <v>0</v>
      </c>
      <c r="W5">
        <v>0</v>
      </c>
      <c r="X5" t="s">
        <v>301</v>
      </c>
      <c r="Y5" t="s">
        <v>345</v>
      </c>
      <c r="Z5" t="s">
        <v>346</v>
      </c>
      <c r="AA5" t="s">
        <v>347</v>
      </c>
      <c r="AC5" t="s">
        <v>348</v>
      </c>
      <c r="AD5" t="s">
        <v>306</v>
      </c>
      <c r="AE5" t="s">
        <v>307</v>
      </c>
      <c r="AF5" t="s">
        <v>55</v>
      </c>
      <c r="AH5" t="s">
        <v>346</v>
      </c>
      <c r="AI5" t="s">
        <v>347</v>
      </c>
      <c r="AK5" t="s">
        <v>348</v>
      </c>
      <c r="AL5" t="s">
        <v>306</v>
      </c>
      <c r="AM5" t="s">
        <v>307</v>
      </c>
      <c r="AN5" t="s">
        <v>55</v>
      </c>
      <c r="AO5">
        <v>0</v>
      </c>
      <c r="AP5">
        <v>-12</v>
      </c>
      <c r="AQ5" t="s">
        <v>310</v>
      </c>
      <c r="AR5" t="s">
        <v>349</v>
      </c>
      <c r="AS5" t="s">
        <v>350</v>
      </c>
      <c r="AT5" t="s">
        <v>313</v>
      </c>
      <c r="AU5" t="s">
        <v>314</v>
      </c>
      <c r="AV5" t="s">
        <v>315</v>
      </c>
    </row>
    <row r="6" spans="1:48" x14ac:dyDescent="0.35">
      <c r="A6" t="s">
        <v>227</v>
      </c>
      <c r="C6" t="s">
        <v>351</v>
      </c>
      <c r="D6" t="s">
        <v>352</v>
      </c>
      <c r="E6">
        <v>58595593849962</v>
      </c>
      <c r="G6" t="s">
        <v>353</v>
      </c>
      <c r="H6" t="s">
        <v>354</v>
      </c>
      <c r="I6" t="s">
        <v>354</v>
      </c>
      <c r="J6" t="s">
        <v>355</v>
      </c>
      <c r="K6" t="s">
        <v>356</v>
      </c>
      <c r="L6" t="s">
        <v>357</v>
      </c>
      <c r="N6" t="s">
        <v>222</v>
      </c>
      <c r="O6" t="s">
        <v>223</v>
      </c>
      <c r="P6">
        <v>1</v>
      </c>
      <c r="Q6" t="s">
        <v>59</v>
      </c>
      <c r="R6">
        <v>2167</v>
      </c>
      <c r="S6">
        <v>0</v>
      </c>
      <c r="T6">
        <v>4</v>
      </c>
      <c r="U6">
        <v>0</v>
      </c>
      <c r="V6">
        <v>0</v>
      </c>
      <c r="W6">
        <v>0</v>
      </c>
      <c r="X6" t="s">
        <v>301</v>
      </c>
      <c r="Y6" t="s">
        <v>357</v>
      </c>
      <c r="Z6" t="s">
        <v>358</v>
      </c>
      <c r="AA6">
        <v>14</v>
      </c>
      <c r="AC6" t="s">
        <v>359</v>
      </c>
      <c r="AD6" t="s">
        <v>336</v>
      </c>
      <c r="AE6" t="s">
        <v>307</v>
      </c>
      <c r="AF6" t="s">
        <v>55</v>
      </c>
      <c r="AH6" t="s">
        <v>358</v>
      </c>
      <c r="AI6">
        <v>14</v>
      </c>
      <c r="AK6" t="s">
        <v>359</v>
      </c>
      <c r="AL6" t="s">
        <v>336</v>
      </c>
      <c r="AM6" t="s">
        <v>307</v>
      </c>
      <c r="AN6" t="s">
        <v>55</v>
      </c>
      <c r="AO6">
        <v>0</v>
      </c>
      <c r="AP6">
        <v>-4</v>
      </c>
      <c r="AQ6" t="s">
        <v>310</v>
      </c>
      <c r="AR6" t="s">
        <v>360</v>
      </c>
      <c r="AS6" t="s">
        <v>361</v>
      </c>
      <c r="AT6" t="s">
        <v>313</v>
      </c>
      <c r="AU6" t="s">
        <v>314</v>
      </c>
      <c r="AV6" t="s">
        <v>315</v>
      </c>
    </row>
    <row r="7" spans="1:48" x14ac:dyDescent="0.35">
      <c r="A7" t="s">
        <v>362</v>
      </c>
      <c r="C7" t="s">
        <v>363</v>
      </c>
      <c r="D7" t="s">
        <v>364</v>
      </c>
      <c r="E7">
        <v>58586976313522</v>
      </c>
      <c r="G7" t="s">
        <v>365</v>
      </c>
      <c r="H7" t="s">
        <v>366</v>
      </c>
      <c r="I7" t="s">
        <v>366</v>
      </c>
      <c r="J7" t="s">
        <v>367</v>
      </c>
      <c r="K7" t="s">
        <v>368</v>
      </c>
      <c r="L7" t="s">
        <v>369</v>
      </c>
      <c r="N7" t="s">
        <v>233</v>
      </c>
      <c r="O7" t="s">
        <v>234</v>
      </c>
      <c r="P7">
        <v>1</v>
      </c>
      <c r="Q7" t="s">
        <v>59</v>
      </c>
      <c r="R7">
        <v>2207</v>
      </c>
      <c r="S7">
        <v>0</v>
      </c>
      <c r="T7">
        <v>12</v>
      </c>
      <c r="U7">
        <v>0</v>
      </c>
      <c r="V7">
        <v>0</v>
      </c>
      <c r="W7">
        <v>0</v>
      </c>
      <c r="X7" t="s">
        <v>301</v>
      </c>
      <c r="Y7" t="s">
        <v>369</v>
      </c>
      <c r="Z7" t="s">
        <v>370</v>
      </c>
      <c r="AA7">
        <v>2592</v>
      </c>
      <c r="AC7" t="s">
        <v>336</v>
      </c>
      <c r="AD7" t="s">
        <v>336</v>
      </c>
      <c r="AE7" t="s">
        <v>371</v>
      </c>
      <c r="AF7" t="s">
        <v>55</v>
      </c>
      <c r="AH7" t="s">
        <v>370</v>
      </c>
      <c r="AI7">
        <v>2592</v>
      </c>
      <c r="AK7" t="s">
        <v>336</v>
      </c>
      <c r="AL7" t="s">
        <v>336</v>
      </c>
      <c r="AM7" t="s">
        <v>371</v>
      </c>
      <c r="AN7" t="s">
        <v>55</v>
      </c>
      <c r="AO7">
        <v>0</v>
      </c>
      <c r="AP7">
        <v>-12</v>
      </c>
      <c r="AQ7" t="s">
        <v>310</v>
      </c>
      <c r="AR7" t="s">
        <v>372</v>
      </c>
      <c r="AS7" t="s">
        <v>373</v>
      </c>
      <c r="AT7" t="s">
        <v>313</v>
      </c>
      <c r="AU7" t="s">
        <v>314</v>
      </c>
      <c r="AV7" t="s">
        <v>315</v>
      </c>
    </row>
    <row r="8" spans="1:48" x14ac:dyDescent="0.35">
      <c r="A8" t="s">
        <v>374</v>
      </c>
      <c r="C8" t="s">
        <v>375</v>
      </c>
      <c r="D8" t="s">
        <v>376</v>
      </c>
      <c r="E8">
        <v>58585564971882</v>
      </c>
      <c r="G8" t="s">
        <v>377</v>
      </c>
      <c r="H8" t="s">
        <v>378</v>
      </c>
      <c r="I8" t="s">
        <v>378</v>
      </c>
      <c r="J8" t="s">
        <v>379</v>
      </c>
      <c r="K8" t="s">
        <v>380</v>
      </c>
      <c r="L8" t="s">
        <v>381</v>
      </c>
      <c r="N8" t="s">
        <v>222</v>
      </c>
      <c r="O8" t="s">
        <v>223</v>
      </c>
      <c r="P8">
        <v>1</v>
      </c>
      <c r="Q8" t="s">
        <v>59</v>
      </c>
      <c r="R8">
        <v>2167</v>
      </c>
      <c r="S8">
        <v>0</v>
      </c>
      <c r="T8">
        <v>12</v>
      </c>
      <c r="U8">
        <v>0</v>
      </c>
      <c r="V8">
        <v>0</v>
      </c>
      <c r="W8">
        <v>0</v>
      </c>
      <c r="X8" t="s">
        <v>301</v>
      </c>
      <c r="Y8" t="s">
        <v>381</v>
      </c>
      <c r="Z8" t="s">
        <v>382</v>
      </c>
      <c r="AA8" t="s">
        <v>383</v>
      </c>
      <c r="AC8" t="s">
        <v>384</v>
      </c>
      <c r="AD8" t="s">
        <v>385</v>
      </c>
      <c r="AE8" t="s">
        <v>386</v>
      </c>
      <c r="AF8" t="s">
        <v>55</v>
      </c>
      <c r="AH8" t="s">
        <v>382</v>
      </c>
      <c r="AI8" t="s">
        <v>383</v>
      </c>
      <c r="AK8" t="s">
        <v>384</v>
      </c>
      <c r="AL8" t="s">
        <v>385</v>
      </c>
      <c r="AM8" t="s">
        <v>386</v>
      </c>
      <c r="AN8" t="s">
        <v>55</v>
      </c>
      <c r="AO8">
        <v>0</v>
      </c>
      <c r="AP8">
        <v>-12</v>
      </c>
      <c r="AQ8" t="s">
        <v>310</v>
      </c>
      <c r="AR8" t="s">
        <v>387</v>
      </c>
      <c r="AS8" t="s">
        <v>350</v>
      </c>
      <c r="AT8" t="s">
        <v>313</v>
      </c>
      <c r="AU8" t="s">
        <v>314</v>
      </c>
      <c r="AV8" t="s">
        <v>315</v>
      </c>
    </row>
    <row r="9" spans="1:48" x14ac:dyDescent="0.35">
      <c r="A9" t="s">
        <v>388</v>
      </c>
      <c r="C9" t="s">
        <v>389</v>
      </c>
      <c r="D9" t="s">
        <v>390</v>
      </c>
      <c r="E9">
        <v>58582345213522</v>
      </c>
      <c r="G9" t="s">
        <v>391</v>
      </c>
      <c r="H9" t="s">
        <v>392</v>
      </c>
      <c r="I9" t="s">
        <v>392</v>
      </c>
      <c r="J9" t="s">
        <v>393</v>
      </c>
      <c r="K9" t="s">
        <v>394</v>
      </c>
      <c r="L9" t="s">
        <v>395</v>
      </c>
      <c r="N9" t="s">
        <v>396</v>
      </c>
      <c r="O9" t="s">
        <v>397</v>
      </c>
      <c r="P9">
        <v>1</v>
      </c>
      <c r="Q9" t="s">
        <v>59</v>
      </c>
      <c r="R9">
        <v>1376</v>
      </c>
      <c r="S9">
        <v>0</v>
      </c>
      <c r="T9">
        <v>6</v>
      </c>
      <c r="U9">
        <v>0</v>
      </c>
      <c r="V9">
        <v>0</v>
      </c>
      <c r="W9">
        <v>0</v>
      </c>
      <c r="X9" t="s">
        <v>301</v>
      </c>
      <c r="Y9" t="s">
        <v>395</v>
      </c>
      <c r="Z9" t="s">
        <v>398</v>
      </c>
      <c r="AA9" t="s">
        <v>399</v>
      </c>
      <c r="AC9" t="s">
        <v>400</v>
      </c>
      <c r="AD9" t="s">
        <v>401</v>
      </c>
      <c r="AE9" t="s">
        <v>307</v>
      </c>
      <c r="AF9" t="s">
        <v>55</v>
      </c>
      <c r="AH9" t="s">
        <v>398</v>
      </c>
      <c r="AI9" t="s">
        <v>399</v>
      </c>
      <c r="AK9" t="s">
        <v>400</v>
      </c>
      <c r="AL9" t="s">
        <v>401</v>
      </c>
      <c r="AM9" t="s">
        <v>307</v>
      </c>
      <c r="AN9" t="s">
        <v>55</v>
      </c>
      <c r="AO9">
        <v>0</v>
      </c>
      <c r="AP9">
        <v>-6</v>
      </c>
      <c r="AQ9" t="s">
        <v>402</v>
      </c>
      <c r="AR9">
        <v>49883132386</v>
      </c>
      <c r="AS9" t="s">
        <v>350</v>
      </c>
      <c r="AT9" t="s">
        <v>313</v>
      </c>
      <c r="AU9" t="s">
        <v>314</v>
      </c>
      <c r="AV9" t="s">
        <v>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FD00-D66E-4F71-8DA5-BB3D79F0F656}">
  <dimension ref="A1:AO28"/>
  <sheetViews>
    <sheetView workbookViewId="0">
      <pane xSplit="1" ySplit="1" topLeftCell="P11" activePane="bottomRight" state="frozen"/>
      <selection pane="topRight" activeCell="B1" sqref="B1"/>
      <selection pane="bottomLeft" activeCell="A2" sqref="A2"/>
      <selection pane="bottomRight" activeCell="Q20" sqref="Q20"/>
    </sheetView>
  </sheetViews>
  <sheetFormatPr defaultRowHeight="14.5" x14ac:dyDescent="0.35"/>
  <cols>
    <col min="1" max="1" width="17.1796875" bestFit="1" customWidth="1"/>
    <col min="2" max="2" width="11.81640625" bestFit="1" customWidth="1"/>
    <col min="3" max="3" width="15.7265625" bestFit="1" customWidth="1"/>
    <col min="4" max="4" width="15.36328125" bestFit="1" customWidth="1"/>
    <col min="5" max="5" width="22.36328125" bestFit="1" customWidth="1"/>
    <col min="6" max="6" width="13.6328125" bestFit="1" customWidth="1"/>
    <col min="7" max="7" width="21.453125" bestFit="1" customWidth="1"/>
    <col min="8" max="8" width="12.54296875" bestFit="1" customWidth="1"/>
    <col min="9" max="9" width="21.08984375" bestFit="1" customWidth="1"/>
    <col min="10" max="10" width="16.1796875" bestFit="1" customWidth="1"/>
    <col min="11" max="11" width="14.54296875" bestFit="1" customWidth="1"/>
    <col min="12" max="12" width="15.453125" bestFit="1" customWidth="1"/>
    <col min="13" max="13" width="20.90625" bestFit="1" customWidth="1"/>
    <col min="14" max="14" width="18.453125" bestFit="1" customWidth="1"/>
    <col min="15" max="15" width="34.54296875" bestFit="1" customWidth="1"/>
    <col min="16" max="16" width="34.54296875" customWidth="1"/>
    <col min="17" max="17" width="99.1796875" bestFit="1" customWidth="1"/>
    <col min="18" max="18" width="26.54296875" bestFit="1" customWidth="1"/>
    <col min="19" max="19" width="15.453125" bestFit="1" customWidth="1"/>
    <col min="20" max="20" width="15" bestFit="1" customWidth="1"/>
    <col min="21" max="21" width="9.26953125" bestFit="1" customWidth="1"/>
    <col min="22" max="22" width="12.453125" bestFit="1" customWidth="1"/>
    <col min="23" max="23" width="13.1796875" bestFit="1" customWidth="1"/>
    <col min="24" max="24" width="11.36328125" bestFit="1" customWidth="1"/>
    <col min="25" max="25" width="14.6328125" bestFit="1" customWidth="1"/>
    <col min="26" max="26" width="15.26953125" bestFit="1" customWidth="1"/>
    <col min="27" max="27" width="15.36328125" bestFit="1" customWidth="1"/>
    <col min="28" max="28" width="70.453125" bestFit="1" customWidth="1"/>
    <col min="29" max="29" width="11.81640625" bestFit="1" customWidth="1"/>
    <col min="30" max="30" width="17.54296875" bestFit="1" customWidth="1"/>
    <col min="31" max="31" width="25.26953125" bestFit="1" customWidth="1"/>
    <col min="32" max="32" width="11.81640625" bestFit="1" customWidth="1"/>
    <col min="33" max="33" width="17.1796875" bestFit="1" customWidth="1"/>
    <col min="34" max="34" width="11.6328125" bestFit="1" customWidth="1"/>
    <col min="35" max="35" width="8" bestFit="1" customWidth="1"/>
    <col min="36" max="36" width="6.90625" bestFit="1" customWidth="1"/>
    <col min="37" max="37" width="34.81640625" bestFit="1" customWidth="1"/>
    <col min="38" max="38" width="29.36328125" bestFit="1" customWidth="1"/>
    <col min="39" max="39" width="28.7265625" bestFit="1" customWidth="1"/>
    <col min="40" max="40" width="23.26953125" bestFit="1" customWidth="1"/>
    <col min="41" max="41" width="34.453125" bestFit="1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3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s="1">
        <v>46023</v>
      </c>
      <c r="G2" t="s">
        <v>45</v>
      </c>
      <c r="H2">
        <v>1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tr">
        <f>VLOOKUP(O2,'Summary Sheet - templete'!F:F,1,0)</f>
        <v>NSAHC0047226333-2-P1</v>
      </c>
      <c r="Q2" t="s">
        <v>51</v>
      </c>
      <c r="R2" t="s">
        <v>52</v>
      </c>
      <c r="S2" t="s">
        <v>53</v>
      </c>
      <c r="T2">
        <v>70262377</v>
      </c>
      <c r="V2" t="s">
        <v>54</v>
      </c>
      <c r="W2" t="s">
        <v>55</v>
      </c>
      <c r="Y2" t="s">
        <v>54</v>
      </c>
      <c r="Z2" t="s">
        <v>55</v>
      </c>
      <c r="AA2" t="s">
        <v>56</v>
      </c>
      <c r="AB2" t="s">
        <v>57</v>
      </c>
      <c r="AC2">
        <v>311610579200003</v>
      </c>
      <c r="AE2" t="s">
        <v>58</v>
      </c>
      <c r="AG2" t="s">
        <v>59</v>
      </c>
      <c r="AH2" t="s">
        <v>59</v>
      </c>
      <c r="AI2">
        <v>0</v>
      </c>
      <c r="AJ2">
        <v>1</v>
      </c>
      <c r="AK2">
        <v>499</v>
      </c>
      <c r="AL2">
        <v>499</v>
      </c>
      <c r="AM2">
        <v>0</v>
      </c>
      <c r="AN2">
        <v>0</v>
      </c>
      <c r="AO2">
        <v>499</v>
      </c>
    </row>
    <row r="3" spans="1:41" x14ac:dyDescent="0.3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s="1">
        <v>46023</v>
      </c>
      <c r="G3" t="s">
        <v>60</v>
      </c>
      <c r="H3">
        <v>1</v>
      </c>
      <c r="K3" t="s">
        <v>46</v>
      </c>
      <c r="L3" t="s">
        <v>47</v>
      </c>
      <c r="M3" t="s">
        <v>61</v>
      </c>
      <c r="N3" t="s">
        <v>49</v>
      </c>
      <c r="O3" t="s">
        <v>62</v>
      </c>
      <c r="P3" t="str">
        <f>VLOOKUP(O3,'Summary Sheet - templete'!F:F,1,0)</f>
        <v>NSAHC0083560251-1-P1</v>
      </c>
      <c r="Q3" t="s">
        <v>51</v>
      </c>
      <c r="R3" t="s">
        <v>52</v>
      </c>
      <c r="S3" t="s">
        <v>53</v>
      </c>
      <c r="T3" t="s">
        <v>63</v>
      </c>
      <c r="V3" t="s">
        <v>54</v>
      </c>
      <c r="W3" t="s">
        <v>55</v>
      </c>
      <c r="Y3" t="s">
        <v>54</v>
      </c>
      <c r="Z3" t="s">
        <v>55</v>
      </c>
      <c r="AA3" t="s">
        <v>56</v>
      </c>
      <c r="AB3" t="s">
        <v>57</v>
      </c>
      <c r="AC3">
        <v>311610579200003</v>
      </c>
      <c r="AE3" t="s">
        <v>64</v>
      </c>
      <c r="AG3" t="s">
        <v>59</v>
      </c>
      <c r="AH3" t="s">
        <v>59</v>
      </c>
      <c r="AI3">
        <v>0</v>
      </c>
      <c r="AJ3">
        <v>1</v>
      </c>
      <c r="AK3">
        <v>499</v>
      </c>
      <c r="AL3">
        <v>499</v>
      </c>
      <c r="AM3">
        <v>0</v>
      </c>
      <c r="AN3">
        <v>0</v>
      </c>
      <c r="AO3">
        <v>499</v>
      </c>
    </row>
    <row r="4" spans="1:41" x14ac:dyDescent="0.3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s="1">
        <v>46023</v>
      </c>
      <c r="G4" t="s">
        <v>65</v>
      </c>
      <c r="H4">
        <v>1</v>
      </c>
      <c r="K4" t="s">
        <v>46</v>
      </c>
      <c r="L4" t="s">
        <v>47</v>
      </c>
      <c r="M4" t="s">
        <v>66</v>
      </c>
      <c r="N4" t="s">
        <v>49</v>
      </c>
      <c r="O4" t="s">
        <v>67</v>
      </c>
      <c r="P4" t="str">
        <f>VLOOKUP(O4,'Summary Sheet - templete'!F:F,1,0)</f>
        <v>NSAHC0047023168-1-P1</v>
      </c>
      <c r="Q4" t="s">
        <v>68</v>
      </c>
      <c r="R4" t="s">
        <v>69</v>
      </c>
      <c r="S4" t="s">
        <v>70</v>
      </c>
      <c r="T4">
        <v>70262333</v>
      </c>
      <c r="V4" t="s">
        <v>54</v>
      </c>
      <c r="W4" t="s">
        <v>55</v>
      </c>
      <c r="Y4" t="s">
        <v>54</v>
      </c>
      <c r="Z4" t="s">
        <v>55</v>
      </c>
      <c r="AA4" t="s">
        <v>56</v>
      </c>
      <c r="AB4" t="s">
        <v>57</v>
      </c>
      <c r="AC4">
        <v>311610579200003</v>
      </c>
      <c r="AE4" t="s">
        <v>71</v>
      </c>
      <c r="AG4" t="s">
        <v>59</v>
      </c>
      <c r="AH4" t="s">
        <v>59</v>
      </c>
      <c r="AI4">
        <v>0</v>
      </c>
      <c r="AJ4">
        <v>1</v>
      </c>
      <c r="AK4">
        <v>449</v>
      </c>
      <c r="AL4">
        <v>449</v>
      </c>
      <c r="AM4">
        <v>0</v>
      </c>
      <c r="AN4">
        <v>0</v>
      </c>
      <c r="AO4">
        <v>449</v>
      </c>
    </row>
    <row r="5" spans="1:41" x14ac:dyDescent="0.3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s="1">
        <v>46023</v>
      </c>
      <c r="G5" t="s">
        <v>72</v>
      </c>
      <c r="H5">
        <v>1</v>
      </c>
      <c r="K5" t="s">
        <v>46</v>
      </c>
      <c r="L5" t="s">
        <v>47</v>
      </c>
      <c r="M5" t="s">
        <v>73</v>
      </c>
      <c r="N5" t="s">
        <v>49</v>
      </c>
      <c r="O5" t="s">
        <v>74</v>
      </c>
      <c r="P5" t="str">
        <f>VLOOKUP(O5,'Summary Sheet - templete'!F:F,1,0)</f>
        <v>NSAHC0001494244-1-P1</v>
      </c>
      <c r="Q5" t="s">
        <v>75</v>
      </c>
      <c r="R5" t="s">
        <v>76</v>
      </c>
      <c r="S5" t="s">
        <v>76</v>
      </c>
      <c r="T5">
        <v>70146576</v>
      </c>
      <c r="V5" t="s">
        <v>54</v>
      </c>
      <c r="W5" t="s">
        <v>55</v>
      </c>
      <c r="Y5" t="s">
        <v>54</v>
      </c>
      <c r="Z5" t="s">
        <v>55</v>
      </c>
      <c r="AA5" t="s">
        <v>56</v>
      </c>
      <c r="AB5" t="s">
        <v>57</v>
      </c>
      <c r="AC5">
        <v>311610579200003</v>
      </c>
      <c r="AE5" t="s">
        <v>77</v>
      </c>
      <c r="AG5" t="s">
        <v>59</v>
      </c>
      <c r="AH5" t="s">
        <v>59</v>
      </c>
      <c r="AI5">
        <v>0</v>
      </c>
      <c r="AJ5">
        <v>1</v>
      </c>
      <c r="AK5">
        <v>2298</v>
      </c>
      <c r="AL5">
        <v>2298</v>
      </c>
      <c r="AM5">
        <v>0</v>
      </c>
      <c r="AN5">
        <v>0</v>
      </c>
      <c r="AO5">
        <v>2298</v>
      </c>
    </row>
    <row r="6" spans="1:41" x14ac:dyDescent="0.3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s="1">
        <v>46023</v>
      </c>
      <c r="G6" t="s">
        <v>78</v>
      </c>
      <c r="H6">
        <v>1</v>
      </c>
      <c r="K6" t="s">
        <v>46</v>
      </c>
      <c r="L6" t="s">
        <v>47</v>
      </c>
      <c r="M6" t="s">
        <v>79</v>
      </c>
      <c r="N6" t="s">
        <v>49</v>
      </c>
      <c r="O6" t="s">
        <v>80</v>
      </c>
      <c r="P6" t="str">
        <f>VLOOKUP(O6,'Summary Sheet - templete'!F:F,1,0)</f>
        <v>NSAHC0000707946-1-P1</v>
      </c>
      <c r="Q6" t="s">
        <v>81</v>
      </c>
      <c r="R6" t="s">
        <v>82</v>
      </c>
      <c r="S6" t="s">
        <v>83</v>
      </c>
      <c r="T6">
        <v>70146560</v>
      </c>
      <c r="V6" t="s">
        <v>54</v>
      </c>
      <c r="W6" t="s">
        <v>55</v>
      </c>
      <c r="Y6" t="s">
        <v>54</v>
      </c>
      <c r="Z6" t="s">
        <v>55</v>
      </c>
      <c r="AA6" t="s">
        <v>56</v>
      </c>
      <c r="AB6" t="s">
        <v>57</v>
      </c>
      <c r="AC6">
        <v>311610579200003</v>
      </c>
      <c r="AE6" t="s">
        <v>84</v>
      </c>
      <c r="AG6" t="s">
        <v>59</v>
      </c>
      <c r="AH6" t="s">
        <v>59</v>
      </c>
      <c r="AI6">
        <v>0</v>
      </c>
      <c r="AJ6">
        <v>1</v>
      </c>
      <c r="AK6">
        <v>2262</v>
      </c>
      <c r="AL6">
        <v>2262</v>
      </c>
      <c r="AM6">
        <v>0</v>
      </c>
      <c r="AN6">
        <v>0</v>
      </c>
      <c r="AO6">
        <v>2262</v>
      </c>
    </row>
    <row r="7" spans="1:41" x14ac:dyDescent="0.3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s="1">
        <v>46023</v>
      </c>
      <c r="G7" t="s">
        <v>85</v>
      </c>
      <c r="H7">
        <v>1</v>
      </c>
      <c r="K7" t="s">
        <v>46</v>
      </c>
      <c r="L7" t="s">
        <v>47</v>
      </c>
      <c r="M7" t="s">
        <v>86</v>
      </c>
      <c r="N7" t="s">
        <v>49</v>
      </c>
      <c r="O7" t="s">
        <v>87</v>
      </c>
      <c r="P7" t="str">
        <f>VLOOKUP(O7,'Summary Sheet - templete'!F:F,1,0)</f>
        <v>NSAHC0082879023-1-P1</v>
      </c>
      <c r="Q7" t="s">
        <v>68</v>
      </c>
      <c r="R7" t="s">
        <v>69</v>
      </c>
      <c r="S7" t="s">
        <v>70</v>
      </c>
      <c r="T7">
        <v>70262333</v>
      </c>
      <c r="V7" t="s">
        <v>54</v>
      </c>
      <c r="W7" t="s">
        <v>55</v>
      </c>
      <c r="Y7" t="s">
        <v>54</v>
      </c>
      <c r="Z7" t="s">
        <v>55</v>
      </c>
      <c r="AA7" t="s">
        <v>56</v>
      </c>
      <c r="AB7" t="s">
        <v>57</v>
      </c>
      <c r="AC7">
        <v>311610579200003</v>
      </c>
      <c r="AE7" t="s">
        <v>88</v>
      </c>
      <c r="AG7" t="s">
        <v>59</v>
      </c>
      <c r="AH7" t="s">
        <v>59</v>
      </c>
      <c r="AI7">
        <v>0</v>
      </c>
      <c r="AJ7">
        <v>1</v>
      </c>
      <c r="AK7">
        <v>449</v>
      </c>
      <c r="AL7">
        <v>449</v>
      </c>
      <c r="AM7">
        <v>0</v>
      </c>
      <c r="AN7">
        <v>0</v>
      </c>
      <c r="AO7">
        <v>449</v>
      </c>
    </row>
    <row r="8" spans="1:41" x14ac:dyDescent="0.3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s="1">
        <v>46022</v>
      </c>
      <c r="G8" t="s">
        <v>89</v>
      </c>
      <c r="H8">
        <v>1</v>
      </c>
      <c r="K8" t="s">
        <v>46</v>
      </c>
      <c r="L8" t="s">
        <v>47</v>
      </c>
      <c r="M8" t="s">
        <v>90</v>
      </c>
      <c r="N8" t="s">
        <v>49</v>
      </c>
      <c r="O8" t="s">
        <v>91</v>
      </c>
      <c r="P8" t="str">
        <f>VLOOKUP(O8,'Summary Sheet - templete'!F:F,1,0)</f>
        <v>NSAHC0013207023-1-P1</v>
      </c>
      <c r="Q8" t="s">
        <v>92</v>
      </c>
      <c r="R8" t="s">
        <v>93</v>
      </c>
      <c r="S8" t="s">
        <v>93</v>
      </c>
      <c r="T8" t="s">
        <v>94</v>
      </c>
      <c r="V8" t="s">
        <v>54</v>
      </c>
      <c r="W8" t="s">
        <v>55</v>
      </c>
      <c r="Y8" t="s">
        <v>54</v>
      </c>
      <c r="Z8" t="s">
        <v>55</v>
      </c>
      <c r="AA8" t="s">
        <v>56</v>
      </c>
      <c r="AB8" t="s">
        <v>57</v>
      </c>
      <c r="AC8">
        <v>311610579200003</v>
      </c>
      <c r="AE8" t="s">
        <v>95</v>
      </c>
      <c r="AG8" t="s">
        <v>59</v>
      </c>
      <c r="AH8" t="s">
        <v>59</v>
      </c>
      <c r="AI8">
        <v>0</v>
      </c>
      <c r="AJ8">
        <v>1</v>
      </c>
      <c r="AK8">
        <v>398</v>
      </c>
      <c r="AL8">
        <v>398</v>
      </c>
      <c r="AM8">
        <v>0</v>
      </c>
      <c r="AN8">
        <v>0</v>
      </c>
      <c r="AO8">
        <v>398</v>
      </c>
    </row>
    <row r="9" spans="1:41" x14ac:dyDescent="0.3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s="1">
        <v>46022</v>
      </c>
      <c r="G9" t="s">
        <v>96</v>
      </c>
      <c r="H9">
        <v>1</v>
      </c>
      <c r="K9" t="s">
        <v>46</v>
      </c>
      <c r="L9" t="s">
        <v>47</v>
      </c>
      <c r="M9" t="s">
        <v>97</v>
      </c>
      <c r="N9" t="s">
        <v>49</v>
      </c>
      <c r="O9" t="s">
        <v>98</v>
      </c>
      <c r="P9" t="str">
        <f>VLOOKUP(O9,'Summary Sheet - templete'!F:F,1,0)</f>
        <v>NSAHC0053527539-1-P1</v>
      </c>
      <c r="Q9" t="s">
        <v>99</v>
      </c>
      <c r="R9" t="s">
        <v>100</v>
      </c>
      <c r="S9" t="s">
        <v>100</v>
      </c>
      <c r="T9">
        <v>51142274</v>
      </c>
      <c r="V9" t="s">
        <v>54</v>
      </c>
      <c r="W9" t="s">
        <v>55</v>
      </c>
      <c r="Y9" t="s">
        <v>54</v>
      </c>
      <c r="Z9" t="s">
        <v>55</v>
      </c>
      <c r="AA9" t="s">
        <v>56</v>
      </c>
      <c r="AB9" t="s">
        <v>57</v>
      </c>
      <c r="AC9">
        <v>311610579200003</v>
      </c>
      <c r="AE9" t="s">
        <v>101</v>
      </c>
      <c r="AG9" t="s">
        <v>59</v>
      </c>
      <c r="AH9" t="s">
        <v>59</v>
      </c>
      <c r="AI9">
        <v>0</v>
      </c>
      <c r="AJ9">
        <v>1</v>
      </c>
      <c r="AK9">
        <v>2599</v>
      </c>
      <c r="AL9">
        <v>2599</v>
      </c>
      <c r="AM9">
        <v>0</v>
      </c>
      <c r="AN9">
        <v>0</v>
      </c>
      <c r="AO9">
        <v>2599</v>
      </c>
    </row>
    <row r="10" spans="1:41" x14ac:dyDescent="0.35">
      <c r="A10" t="s">
        <v>40</v>
      </c>
      <c r="B10" t="s">
        <v>41</v>
      </c>
      <c r="C10" t="s">
        <v>102</v>
      </c>
      <c r="D10" t="s">
        <v>43</v>
      </c>
      <c r="E10" t="s">
        <v>103</v>
      </c>
      <c r="F10" s="1">
        <v>46022</v>
      </c>
      <c r="G10" t="s">
        <v>104</v>
      </c>
      <c r="H10">
        <v>1</v>
      </c>
      <c r="I10" t="s">
        <v>105</v>
      </c>
      <c r="J10">
        <v>1</v>
      </c>
      <c r="K10" t="s">
        <v>46</v>
      </c>
      <c r="L10" t="s">
        <v>47</v>
      </c>
      <c r="M10" t="s">
        <v>106</v>
      </c>
      <c r="N10" t="s">
        <v>49</v>
      </c>
      <c r="O10" t="s">
        <v>107</v>
      </c>
      <c r="P10" t="str">
        <f>VLOOKUP(O10,'Summary Sheet - templete'!F:F,1,0)</f>
        <v>NSAHC0002594656-2-P1</v>
      </c>
      <c r="Q10" t="s">
        <v>92</v>
      </c>
      <c r="R10" t="s">
        <v>93</v>
      </c>
      <c r="S10" t="s">
        <v>93</v>
      </c>
      <c r="T10" t="s">
        <v>94</v>
      </c>
      <c r="V10" t="s">
        <v>54</v>
      </c>
      <c r="W10" t="s">
        <v>55</v>
      </c>
      <c r="Y10" t="s">
        <v>54</v>
      </c>
      <c r="Z10" t="s">
        <v>55</v>
      </c>
      <c r="AA10" t="s">
        <v>56</v>
      </c>
      <c r="AB10" t="s">
        <v>57</v>
      </c>
      <c r="AC10">
        <v>311610579200003</v>
      </c>
      <c r="AE10" t="s">
        <v>108</v>
      </c>
      <c r="AG10" t="s">
        <v>59</v>
      </c>
      <c r="AH10" t="s">
        <v>59</v>
      </c>
      <c r="AI10">
        <v>0</v>
      </c>
      <c r="AJ10">
        <v>1</v>
      </c>
      <c r="AK10">
        <v>398</v>
      </c>
      <c r="AL10">
        <v>398</v>
      </c>
      <c r="AM10">
        <v>0</v>
      </c>
      <c r="AN10">
        <v>0</v>
      </c>
      <c r="AO10">
        <v>398</v>
      </c>
    </row>
    <row r="11" spans="1:41" x14ac:dyDescent="0.3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s="1">
        <v>46021</v>
      </c>
      <c r="G11" t="s">
        <v>109</v>
      </c>
      <c r="H11">
        <v>1</v>
      </c>
      <c r="K11" t="s">
        <v>46</v>
      </c>
      <c r="L11" t="s">
        <v>47</v>
      </c>
      <c r="M11" t="s">
        <v>110</v>
      </c>
      <c r="N11" t="s">
        <v>49</v>
      </c>
      <c r="O11" t="s">
        <v>111</v>
      </c>
      <c r="P11" t="str">
        <f>VLOOKUP(O11,'Summary Sheet - templete'!F:F,1,0)</f>
        <v>NSAHC0017132006-2-P1</v>
      </c>
      <c r="Q11" t="s">
        <v>112</v>
      </c>
      <c r="R11" t="s">
        <v>113</v>
      </c>
      <c r="S11" t="s">
        <v>113</v>
      </c>
      <c r="T11">
        <v>353212105700763</v>
      </c>
      <c r="V11" t="s">
        <v>54</v>
      </c>
      <c r="W11" t="s">
        <v>55</v>
      </c>
      <c r="Y11" t="s">
        <v>54</v>
      </c>
      <c r="Z11" t="s">
        <v>55</v>
      </c>
      <c r="AA11" t="s">
        <v>56</v>
      </c>
      <c r="AB11" t="s">
        <v>57</v>
      </c>
      <c r="AC11">
        <v>311610579200003</v>
      </c>
      <c r="AE11" t="s">
        <v>114</v>
      </c>
      <c r="AG11" t="s">
        <v>59</v>
      </c>
      <c r="AH11" t="s">
        <v>59</v>
      </c>
      <c r="AI11">
        <v>0</v>
      </c>
      <c r="AJ11">
        <v>1</v>
      </c>
      <c r="AK11">
        <v>524</v>
      </c>
      <c r="AL11">
        <v>524</v>
      </c>
      <c r="AM11">
        <v>0</v>
      </c>
      <c r="AN11">
        <v>0</v>
      </c>
      <c r="AO11">
        <v>524</v>
      </c>
    </row>
    <row r="12" spans="1:41" x14ac:dyDescent="0.35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s="1">
        <v>46020</v>
      </c>
      <c r="G12" t="s">
        <v>115</v>
      </c>
      <c r="H12">
        <v>1</v>
      </c>
      <c r="K12" t="s">
        <v>46</v>
      </c>
      <c r="L12" t="s">
        <v>47</v>
      </c>
      <c r="M12" t="s">
        <v>116</v>
      </c>
      <c r="N12" t="s">
        <v>49</v>
      </c>
      <c r="O12" t="s">
        <v>117</v>
      </c>
      <c r="P12" t="str">
        <f>VLOOKUP(O12,'Summary Sheet - templete'!F:F,1,0)</f>
        <v>NSAHC0007179996-2-P1</v>
      </c>
      <c r="Q12" t="s">
        <v>118</v>
      </c>
      <c r="R12" t="s">
        <v>119</v>
      </c>
      <c r="S12" t="s">
        <v>120</v>
      </c>
      <c r="T12" t="s">
        <v>121</v>
      </c>
      <c r="V12" t="s">
        <v>54</v>
      </c>
      <c r="W12" t="s">
        <v>55</v>
      </c>
      <c r="Y12" t="s">
        <v>54</v>
      </c>
      <c r="Z12" t="s">
        <v>55</v>
      </c>
      <c r="AA12" t="s">
        <v>56</v>
      </c>
      <c r="AB12" t="s">
        <v>57</v>
      </c>
      <c r="AC12">
        <v>311610579200003</v>
      </c>
      <c r="AE12" t="s">
        <v>122</v>
      </c>
      <c r="AG12" t="s">
        <v>59</v>
      </c>
      <c r="AH12" t="s">
        <v>59</v>
      </c>
      <c r="AI12">
        <v>0</v>
      </c>
      <c r="AJ12">
        <v>1</v>
      </c>
      <c r="AK12">
        <v>3189</v>
      </c>
      <c r="AL12">
        <v>3189</v>
      </c>
      <c r="AM12">
        <v>0</v>
      </c>
      <c r="AN12">
        <v>0</v>
      </c>
      <c r="AO12">
        <v>3189</v>
      </c>
    </row>
    <row r="13" spans="1:41" x14ac:dyDescent="0.35">
      <c r="A13" t="s">
        <v>40</v>
      </c>
      <c r="B13" t="s">
        <v>41</v>
      </c>
      <c r="C13" t="s">
        <v>42</v>
      </c>
      <c r="D13" t="s">
        <v>43</v>
      </c>
      <c r="E13" t="s">
        <v>44</v>
      </c>
      <c r="F13" s="1">
        <v>46020</v>
      </c>
      <c r="G13" t="s">
        <v>123</v>
      </c>
      <c r="H13">
        <v>1</v>
      </c>
      <c r="K13" t="s">
        <v>46</v>
      </c>
      <c r="L13" t="s">
        <v>47</v>
      </c>
      <c r="M13" t="s">
        <v>124</v>
      </c>
      <c r="N13" t="s">
        <v>49</v>
      </c>
      <c r="O13" t="s">
        <v>125</v>
      </c>
      <c r="P13" t="str">
        <f>VLOOKUP(O13,'Summary Sheet - templete'!F:F,1,0)</f>
        <v>NSAHC0088492440-1-P1</v>
      </c>
      <c r="Q13" t="s">
        <v>112</v>
      </c>
      <c r="R13" t="s">
        <v>113</v>
      </c>
      <c r="S13" t="s">
        <v>113</v>
      </c>
      <c r="T13">
        <v>353212105596195</v>
      </c>
      <c r="V13" t="s">
        <v>54</v>
      </c>
      <c r="W13" t="s">
        <v>55</v>
      </c>
      <c r="Y13" t="s">
        <v>54</v>
      </c>
      <c r="Z13" t="s">
        <v>55</v>
      </c>
      <c r="AA13" t="s">
        <v>56</v>
      </c>
      <c r="AB13" t="s">
        <v>57</v>
      </c>
      <c r="AC13">
        <v>311610579200003</v>
      </c>
      <c r="AE13" t="s">
        <v>126</v>
      </c>
      <c r="AG13" t="s">
        <v>59</v>
      </c>
      <c r="AH13" t="s">
        <v>59</v>
      </c>
      <c r="AI13">
        <v>0</v>
      </c>
      <c r="AJ13">
        <v>1</v>
      </c>
      <c r="AK13">
        <v>524</v>
      </c>
      <c r="AL13">
        <v>524</v>
      </c>
      <c r="AM13">
        <v>0</v>
      </c>
      <c r="AN13">
        <v>0</v>
      </c>
      <c r="AO13">
        <v>524</v>
      </c>
    </row>
    <row r="14" spans="1:41" x14ac:dyDescent="0.35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s="1">
        <v>46020</v>
      </c>
      <c r="G14" t="s">
        <v>127</v>
      </c>
      <c r="H14">
        <v>1</v>
      </c>
      <c r="K14" t="s">
        <v>46</v>
      </c>
      <c r="L14" t="s">
        <v>47</v>
      </c>
      <c r="M14" t="s">
        <v>128</v>
      </c>
      <c r="N14" t="s">
        <v>49</v>
      </c>
      <c r="O14" t="s">
        <v>129</v>
      </c>
      <c r="P14" t="str">
        <f>VLOOKUP(O14,'Summary Sheet - templete'!F:F,1,0)</f>
        <v>NSAHC0084762122-1-P1</v>
      </c>
      <c r="Q14" t="s">
        <v>130</v>
      </c>
      <c r="R14" t="s">
        <v>131</v>
      </c>
      <c r="S14" t="s">
        <v>131</v>
      </c>
      <c r="T14">
        <v>34261427</v>
      </c>
      <c r="V14" t="s">
        <v>54</v>
      </c>
      <c r="W14" t="s">
        <v>55</v>
      </c>
      <c r="Y14" t="s">
        <v>54</v>
      </c>
      <c r="Z14" t="s">
        <v>55</v>
      </c>
      <c r="AA14" t="s">
        <v>56</v>
      </c>
      <c r="AB14" t="s">
        <v>57</v>
      </c>
      <c r="AC14">
        <v>311610579200003</v>
      </c>
      <c r="AE14" t="s">
        <v>132</v>
      </c>
      <c r="AG14" t="s">
        <v>59</v>
      </c>
      <c r="AH14" t="s">
        <v>59</v>
      </c>
      <c r="AI14">
        <v>0</v>
      </c>
      <c r="AJ14">
        <v>1</v>
      </c>
      <c r="AK14">
        <v>429</v>
      </c>
      <c r="AL14">
        <v>429</v>
      </c>
      <c r="AM14">
        <v>0</v>
      </c>
      <c r="AN14">
        <v>0</v>
      </c>
      <c r="AO14">
        <v>429</v>
      </c>
    </row>
    <row r="15" spans="1:41" x14ac:dyDescent="0.35">
      <c r="A15" t="s">
        <v>40</v>
      </c>
      <c r="B15" t="s">
        <v>41</v>
      </c>
      <c r="C15" t="s">
        <v>42</v>
      </c>
      <c r="D15" t="s">
        <v>43</v>
      </c>
      <c r="E15" t="s">
        <v>44</v>
      </c>
      <c r="F15" s="1">
        <v>46020</v>
      </c>
      <c r="G15" t="s">
        <v>127</v>
      </c>
      <c r="H15">
        <v>2</v>
      </c>
      <c r="K15" t="s">
        <v>46</v>
      </c>
      <c r="L15" t="s">
        <v>47</v>
      </c>
      <c r="M15" t="s">
        <v>128</v>
      </c>
      <c r="N15" t="s">
        <v>49</v>
      </c>
      <c r="O15" t="s">
        <v>133</v>
      </c>
      <c r="P15" t="str">
        <f>VLOOKUP(O15,'Summary Sheet - templete'!F:F,1,0)</f>
        <v>NSAHC0084762122-2-P1</v>
      </c>
      <c r="Q15" t="s">
        <v>92</v>
      </c>
      <c r="R15" t="s">
        <v>93</v>
      </c>
      <c r="S15" t="s">
        <v>93</v>
      </c>
      <c r="T15">
        <v>53382311</v>
      </c>
      <c r="V15" t="s">
        <v>54</v>
      </c>
      <c r="W15" t="s">
        <v>55</v>
      </c>
      <c r="Y15" t="s">
        <v>54</v>
      </c>
      <c r="Z15" t="s">
        <v>55</v>
      </c>
      <c r="AA15" t="s">
        <v>56</v>
      </c>
      <c r="AB15" t="s">
        <v>57</v>
      </c>
      <c r="AC15">
        <v>311610579200003</v>
      </c>
      <c r="AE15" t="s">
        <v>132</v>
      </c>
      <c r="AG15" t="s">
        <v>59</v>
      </c>
      <c r="AH15" t="s">
        <v>59</v>
      </c>
      <c r="AI15">
        <v>0</v>
      </c>
      <c r="AJ15">
        <v>1</v>
      </c>
      <c r="AK15">
        <v>398</v>
      </c>
      <c r="AL15">
        <v>398</v>
      </c>
      <c r="AM15">
        <v>0</v>
      </c>
      <c r="AN15">
        <v>0</v>
      </c>
      <c r="AO15">
        <v>398</v>
      </c>
    </row>
    <row r="16" spans="1:41" x14ac:dyDescent="0.35">
      <c r="A16" t="s">
        <v>40</v>
      </c>
      <c r="B16" t="s">
        <v>41</v>
      </c>
      <c r="C16" t="s">
        <v>42</v>
      </c>
      <c r="D16" t="s">
        <v>43</v>
      </c>
      <c r="E16" t="s">
        <v>44</v>
      </c>
      <c r="F16" s="1">
        <v>46020</v>
      </c>
      <c r="G16" t="s">
        <v>134</v>
      </c>
      <c r="H16">
        <v>1</v>
      </c>
      <c r="K16" t="s">
        <v>46</v>
      </c>
      <c r="L16" t="s">
        <v>47</v>
      </c>
      <c r="M16" t="s">
        <v>135</v>
      </c>
      <c r="N16" t="s">
        <v>49</v>
      </c>
      <c r="O16" t="s">
        <v>136</v>
      </c>
      <c r="P16" t="str">
        <f>VLOOKUP(O16,'Summary Sheet - templete'!F:F,1,0)</f>
        <v>NSAHC0085871396-1-P1</v>
      </c>
      <c r="Q16" t="s">
        <v>137</v>
      </c>
      <c r="R16" t="s">
        <v>138</v>
      </c>
      <c r="S16" t="s">
        <v>139</v>
      </c>
      <c r="T16">
        <v>70259511</v>
      </c>
      <c r="V16" t="s">
        <v>54</v>
      </c>
      <c r="W16" t="s">
        <v>55</v>
      </c>
      <c r="Y16" t="s">
        <v>54</v>
      </c>
      <c r="Z16" t="s">
        <v>55</v>
      </c>
      <c r="AA16" t="s">
        <v>56</v>
      </c>
      <c r="AB16" t="s">
        <v>57</v>
      </c>
      <c r="AC16">
        <v>311610579200003</v>
      </c>
      <c r="AE16" t="s">
        <v>140</v>
      </c>
      <c r="AG16" t="s">
        <v>59</v>
      </c>
      <c r="AH16" t="s">
        <v>59</v>
      </c>
      <c r="AI16">
        <v>0</v>
      </c>
      <c r="AJ16">
        <v>1</v>
      </c>
      <c r="AK16">
        <v>1649</v>
      </c>
      <c r="AL16">
        <v>1649</v>
      </c>
      <c r="AM16">
        <v>0</v>
      </c>
      <c r="AN16">
        <v>0</v>
      </c>
      <c r="AO16">
        <v>1649</v>
      </c>
    </row>
    <row r="17" spans="1:41" x14ac:dyDescent="0.35">
      <c r="A17" t="s">
        <v>40</v>
      </c>
      <c r="B17" t="s">
        <v>41</v>
      </c>
      <c r="C17" t="s">
        <v>42</v>
      </c>
      <c r="D17" t="s">
        <v>43</v>
      </c>
      <c r="E17" t="s">
        <v>44</v>
      </c>
      <c r="F17" s="1">
        <v>46020</v>
      </c>
      <c r="G17" t="s">
        <v>104</v>
      </c>
      <c r="H17">
        <v>1</v>
      </c>
      <c r="K17" t="s">
        <v>46</v>
      </c>
      <c r="L17" t="s">
        <v>47</v>
      </c>
      <c r="M17" t="s">
        <v>106</v>
      </c>
      <c r="N17" t="s">
        <v>49</v>
      </c>
      <c r="O17" t="s">
        <v>107</v>
      </c>
      <c r="P17" t="str">
        <f>VLOOKUP(O17,'Summary Sheet - templete'!F:F,1,0)</f>
        <v>NSAHC0002594656-2-P1</v>
      </c>
      <c r="Q17" t="s">
        <v>92</v>
      </c>
      <c r="R17" t="s">
        <v>93</v>
      </c>
      <c r="S17" t="s">
        <v>93</v>
      </c>
      <c r="T17" t="s">
        <v>94</v>
      </c>
      <c r="V17" t="s">
        <v>54</v>
      </c>
      <c r="W17" t="s">
        <v>55</v>
      </c>
      <c r="Y17" t="s">
        <v>54</v>
      </c>
      <c r="Z17" t="s">
        <v>55</v>
      </c>
      <c r="AA17" t="s">
        <v>56</v>
      </c>
      <c r="AB17" t="s">
        <v>57</v>
      </c>
      <c r="AC17">
        <v>311610579200003</v>
      </c>
      <c r="AE17" t="s">
        <v>108</v>
      </c>
      <c r="AG17" t="s">
        <v>59</v>
      </c>
      <c r="AH17" t="s">
        <v>59</v>
      </c>
      <c r="AI17">
        <v>0</v>
      </c>
      <c r="AJ17">
        <v>1</v>
      </c>
      <c r="AK17">
        <v>398</v>
      </c>
      <c r="AL17">
        <v>398</v>
      </c>
      <c r="AM17">
        <v>0</v>
      </c>
      <c r="AN17">
        <v>0</v>
      </c>
      <c r="AO17">
        <v>398</v>
      </c>
    </row>
    <row r="18" spans="1:41" x14ac:dyDescent="0.35">
      <c r="A18" t="s">
        <v>40</v>
      </c>
      <c r="B18" t="s">
        <v>41</v>
      </c>
      <c r="C18" t="s">
        <v>42</v>
      </c>
      <c r="D18" t="s">
        <v>43</v>
      </c>
      <c r="E18" t="s">
        <v>44</v>
      </c>
      <c r="F18" s="1">
        <v>46020</v>
      </c>
      <c r="G18" t="s">
        <v>141</v>
      </c>
      <c r="H18">
        <v>1</v>
      </c>
      <c r="K18" t="s">
        <v>46</v>
      </c>
      <c r="L18" t="s">
        <v>47</v>
      </c>
      <c r="M18" t="s">
        <v>142</v>
      </c>
      <c r="N18" t="s">
        <v>49</v>
      </c>
      <c r="O18" t="s">
        <v>143</v>
      </c>
      <c r="P18" t="str">
        <f>VLOOKUP(O18,'Summary Sheet - templete'!F:F,1,0)</f>
        <v>NSAHC0047546591-1-P1</v>
      </c>
      <c r="Q18" t="s">
        <v>92</v>
      </c>
      <c r="R18" t="s">
        <v>93</v>
      </c>
      <c r="S18" t="s">
        <v>93</v>
      </c>
      <c r="T18">
        <v>53382311</v>
      </c>
      <c r="V18" t="s">
        <v>54</v>
      </c>
      <c r="W18" t="s">
        <v>55</v>
      </c>
      <c r="Y18" t="s">
        <v>54</v>
      </c>
      <c r="Z18" t="s">
        <v>55</v>
      </c>
      <c r="AA18" t="s">
        <v>56</v>
      </c>
      <c r="AB18" t="s">
        <v>57</v>
      </c>
      <c r="AC18">
        <v>311610579200003</v>
      </c>
      <c r="AE18" t="s">
        <v>144</v>
      </c>
      <c r="AG18" t="s">
        <v>59</v>
      </c>
      <c r="AH18" t="s">
        <v>59</v>
      </c>
      <c r="AI18">
        <v>0</v>
      </c>
      <c r="AJ18">
        <v>1</v>
      </c>
      <c r="AK18">
        <v>398</v>
      </c>
      <c r="AL18">
        <v>398</v>
      </c>
      <c r="AM18">
        <v>0</v>
      </c>
      <c r="AN18">
        <v>0</v>
      </c>
      <c r="AO18">
        <v>398</v>
      </c>
    </row>
    <row r="19" spans="1:41" x14ac:dyDescent="0.35">
      <c r="A19" t="s">
        <v>40</v>
      </c>
      <c r="B19" t="s">
        <v>41</v>
      </c>
      <c r="C19" t="s">
        <v>42</v>
      </c>
      <c r="D19" t="s">
        <v>43</v>
      </c>
      <c r="E19" t="s">
        <v>44</v>
      </c>
      <c r="F19" s="1">
        <v>46020</v>
      </c>
      <c r="G19" t="s">
        <v>145</v>
      </c>
      <c r="H19">
        <v>1</v>
      </c>
      <c r="K19" t="s">
        <v>46</v>
      </c>
      <c r="L19" t="s">
        <v>47</v>
      </c>
      <c r="M19" t="s">
        <v>146</v>
      </c>
      <c r="N19" t="s">
        <v>49</v>
      </c>
      <c r="O19" t="s">
        <v>147</v>
      </c>
      <c r="P19" t="str">
        <f>VLOOKUP(O19,'Summary Sheet - templete'!F:F,1,0)</f>
        <v>NSAHC0032889994-1-P1</v>
      </c>
      <c r="Q19" t="s">
        <v>92</v>
      </c>
      <c r="R19" t="s">
        <v>93</v>
      </c>
      <c r="S19" t="s">
        <v>93</v>
      </c>
      <c r="T19">
        <v>53382311</v>
      </c>
      <c r="V19" t="s">
        <v>54</v>
      </c>
      <c r="W19" t="s">
        <v>55</v>
      </c>
      <c r="Y19" t="s">
        <v>54</v>
      </c>
      <c r="Z19" t="s">
        <v>55</v>
      </c>
      <c r="AA19" t="s">
        <v>56</v>
      </c>
      <c r="AB19" t="s">
        <v>57</v>
      </c>
      <c r="AC19">
        <v>311610579200003</v>
      </c>
      <c r="AE19" t="s">
        <v>148</v>
      </c>
      <c r="AG19" t="s">
        <v>59</v>
      </c>
      <c r="AH19" t="s">
        <v>59</v>
      </c>
      <c r="AI19">
        <v>0</v>
      </c>
      <c r="AJ19">
        <v>1</v>
      </c>
      <c r="AK19">
        <v>398</v>
      </c>
      <c r="AL19">
        <v>398</v>
      </c>
      <c r="AM19">
        <v>0</v>
      </c>
      <c r="AN19">
        <v>0</v>
      </c>
      <c r="AO19">
        <v>398</v>
      </c>
    </row>
    <row r="20" spans="1:41" x14ac:dyDescent="0.35">
      <c r="A20" t="s">
        <v>40</v>
      </c>
      <c r="B20" t="s">
        <v>41</v>
      </c>
      <c r="C20" t="s">
        <v>42</v>
      </c>
      <c r="D20" t="s">
        <v>43</v>
      </c>
      <c r="E20" t="s">
        <v>44</v>
      </c>
      <c r="F20" s="1">
        <v>46019</v>
      </c>
      <c r="G20" t="s">
        <v>149</v>
      </c>
      <c r="H20">
        <v>1</v>
      </c>
      <c r="K20" t="s">
        <v>46</v>
      </c>
      <c r="L20" t="s">
        <v>47</v>
      </c>
      <c r="M20" t="s">
        <v>150</v>
      </c>
      <c r="N20" t="s">
        <v>49</v>
      </c>
      <c r="O20" t="s">
        <v>151</v>
      </c>
      <c r="P20" t="str">
        <f>VLOOKUP(O20,'Summary Sheet - templete'!F:F,1,0)</f>
        <v>NSAHC0082186765-2-P1</v>
      </c>
      <c r="Q20" t="s">
        <v>152</v>
      </c>
      <c r="R20" t="s">
        <v>153</v>
      </c>
      <c r="S20" t="s">
        <v>154</v>
      </c>
      <c r="T20">
        <v>353212106168796</v>
      </c>
      <c r="V20" t="s">
        <v>54</v>
      </c>
      <c r="W20" t="s">
        <v>55</v>
      </c>
      <c r="Y20" t="s">
        <v>54</v>
      </c>
      <c r="Z20" t="s">
        <v>55</v>
      </c>
      <c r="AA20" t="s">
        <v>56</v>
      </c>
      <c r="AB20" t="s">
        <v>57</v>
      </c>
      <c r="AC20">
        <v>311610579200003</v>
      </c>
      <c r="AE20" t="s">
        <v>155</v>
      </c>
      <c r="AG20" t="s">
        <v>59</v>
      </c>
      <c r="AH20" t="s">
        <v>59</v>
      </c>
      <c r="AI20">
        <v>0</v>
      </c>
      <c r="AJ20">
        <v>1</v>
      </c>
      <c r="AK20">
        <v>699</v>
      </c>
      <c r="AL20">
        <v>699</v>
      </c>
      <c r="AM20">
        <v>0</v>
      </c>
      <c r="AN20">
        <v>0</v>
      </c>
      <c r="AO20">
        <v>699</v>
      </c>
    </row>
    <row r="21" spans="1:41" x14ac:dyDescent="0.35">
      <c r="A21" t="s">
        <v>40</v>
      </c>
      <c r="B21" t="s">
        <v>41</v>
      </c>
      <c r="C21" t="s">
        <v>42</v>
      </c>
      <c r="D21" t="s">
        <v>43</v>
      </c>
      <c r="E21" t="s">
        <v>44</v>
      </c>
      <c r="F21" s="1">
        <v>46019</v>
      </c>
      <c r="G21" t="s">
        <v>156</v>
      </c>
      <c r="H21">
        <v>1</v>
      </c>
      <c r="K21" t="s">
        <v>46</v>
      </c>
      <c r="L21" t="s">
        <v>47</v>
      </c>
      <c r="M21" t="s">
        <v>157</v>
      </c>
      <c r="N21" t="s">
        <v>49</v>
      </c>
      <c r="O21" t="s">
        <v>158</v>
      </c>
      <c r="P21" t="str">
        <f>VLOOKUP(O21,'Summary Sheet - templete'!F:F,1,0)</f>
        <v>NSAHC0065081485-3-P1</v>
      </c>
      <c r="Q21" t="s">
        <v>159</v>
      </c>
      <c r="R21" t="s">
        <v>160</v>
      </c>
      <c r="S21" t="s">
        <v>160</v>
      </c>
      <c r="T21" t="s">
        <v>161</v>
      </c>
      <c r="V21" t="s">
        <v>54</v>
      </c>
      <c r="W21" t="s">
        <v>55</v>
      </c>
      <c r="Y21" t="s">
        <v>54</v>
      </c>
      <c r="Z21" t="s">
        <v>55</v>
      </c>
      <c r="AA21" t="s">
        <v>56</v>
      </c>
      <c r="AB21" t="s">
        <v>57</v>
      </c>
      <c r="AC21">
        <v>311610579200003</v>
      </c>
      <c r="AE21" t="s">
        <v>162</v>
      </c>
      <c r="AG21" t="s">
        <v>59</v>
      </c>
      <c r="AH21" t="s">
        <v>59</v>
      </c>
      <c r="AI21">
        <v>0</v>
      </c>
      <c r="AJ21">
        <v>1</v>
      </c>
      <c r="AK21">
        <v>399</v>
      </c>
      <c r="AL21">
        <v>399</v>
      </c>
      <c r="AM21">
        <v>0</v>
      </c>
      <c r="AN21">
        <v>0</v>
      </c>
      <c r="AO21">
        <v>399</v>
      </c>
    </row>
    <row r="22" spans="1:41" x14ac:dyDescent="0.35">
      <c r="A22" t="s">
        <v>40</v>
      </c>
      <c r="B22" t="s">
        <v>41</v>
      </c>
      <c r="C22" t="s">
        <v>42</v>
      </c>
      <c r="D22" t="s">
        <v>43</v>
      </c>
      <c r="E22" t="s">
        <v>44</v>
      </c>
      <c r="F22" s="1">
        <v>46019</v>
      </c>
      <c r="G22" t="s">
        <v>163</v>
      </c>
      <c r="H22">
        <v>1</v>
      </c>
      <c r="K22" t="s">
        <v>46</v>
      </c>
      <c r="L22" t="s">
        <v>47</v>
      </c>
      <c r="M22" t="s">
        <v>164</v>
      </c>
      <c r="N22" t="s">
        <v>49</v>
      </c>
      <c r="O22" t="s">
        <v>165</v>
      </c>
      <c r="P22" t="str">
        <f>VLOOKUP(O22,'Summary Sheet - templete'!F:F,1,0)</f>
        <v>NSAHC0010472664-1-P1</v>
      </c>
      <c r="Q22" t="s">
        <v>130</v>
      </c>
      <c r="R22" t="s">
        <v>131</v>
      </c>
      <c r="S22" t="s">
        <v>131</v>
      </c>
      <c r="T22" t="s">
        <v>166</v>
      </c>
      <c r="V22" t="s">
        <v>54</v>
      </c>
      <c r="W22" t="s">
        <v>55</v>
      </c>
      <c r="Y22" t="s">
        <v>54</v>
      </c>
      <c r="Z22" t="s">
        <v>55</v>
      </c>
      <c r="AA22" t="s">
        <v>56</v>
      </c>
      <c r="AB22" t="s">
        <v>57</v>
      </c>
      <c r="AC22">
        <v>311610579200003</v>
      </c>
      <c r="AE22" t="s">
        <v>167</v>
      </c>
      <c r="AG22" t="s">
        <v>59</v>
      </c>
      <c r="AH22" t="s">
        <v>59</v>
      </c>
      <c r="AI22">
        <v>0</v>
      </c>
      <c r="AJ22">
        <v>1</v>
      </c>
      <c r="AK22">
        <v>429</v>
      </c>
      <c r="AL22">
        <v>429</v>
      </c>
      <c r="AM22">
        <v>0</v>
      </c>
      <c r="AN22">
        <v>0</v>
      </c>
      <c r="AO22">
        <v>429</v>
      </c>
    </row>
    <row r="23" spans="1:41" x14ac:dyDescent="0.35">
      <c r="A23" t="s">
        <v>40</v>
      </c>
      <c r="B23" t="s">
        <v>41</v>
      </c>
      <c r="C23" t="s">
        <v>42</v>
      </c>
      <c r="D23" t="s">
        <v>43</v>
      </c>
      <c r="E23" t="s">
        <v>44</v>
      </c>
      <c r="F23" s="1">
        <v>46019</v>
      </c>
      <c r="G23" t="s">
        <v>168</v>
      </c>
      <c r="H23">
        <v>1</v>
      </c>
      <c r="K23" t="s">
        <v>46</v>
      </c>
      <c r="L23" t="s">
        <v>47</v>
      </c>
      <c r="M23" t="s">
        <v>169</v>
      </c>
      <c r="N23" t="s">
        <v>49</v>
      </c>
      <c r="O23" t="s">
        <v>170</v>
      </c>
      <c r="P23" t="str">
        <f>VLOOKUP(O23,'Summary Sheet - templete'!F:F,1,0)</f>
        <v>NSAHC0064138549-1-P1</v>
      </c>
      <c r="Q23" t="s">
        <v>130</v>
      </c>
      <c r="R23" t="s">
        <v>131</v>
      </c>
      <c r="S23" t="s">
        <v>131</v>
      </c>
      <c r="T23" t="s">
        <v>171</v>
      </c>
      <c r="V23" t="s">
        <v>54</v>
      </c>
      <c r="W23" t="s">
        <v>55</v>
      </c>
      <c r="Y23" t="s">
        <v>54</v>
      </c>
      <c r="Z23" t="s">
        <v>55</v>
      </c>
      <c r="AA23" t="s">
        <v>56</v>
      </c>
      <c r="AB23" t="s">
        <v>57</v>
      </c>
      <c r="AC23">
        <v>311610579200003</v>
      </c>
      <c r="AE23" t="s">
        <v>172</v>
      </c>
      <c r="AG23" t="s">
        <v>59</v>
      </c>
      <c r="AH23" t="s">
        <v>59</v>
      </c>
      <c r="AI23">
        <v>0</v>
      </c>
      <c r="AJ23">
        <v>1</v>
      </c>
      <c r="AK23">
        <v>429</v>
      </c>
      <c r="AL23">
        <v>429</v>
      </c>
      <c r="AM23">
        <v>0</v>
      </c>
      <c r="AN23">
        <v>0</v>
      </c>
      <c r="AO23">
        <v>429</v>
      </c>
    </row>
    <row r="24" spans="1:41" x14ac:dyDescent="0.35">
      <c r="A24" t="s">
        <v>40</v>
      </c>
      <c r="B24" t="s">
        <v>41</v>
      </c>
      <c r="C24" t="s">
        <v>42</v>
      </c>
      <c r="D24" t="s">
        <v>43</v>
      </c>
      <c r="E24" t="s">
        <v>44</v>
      </c>
      <c r="F24" s="1">
        <v>46019</v>
      </c>
      <c r="G24" t="s">
        <v>173</v>
      </c>
      <c r="H24">
        <v>1</v>
      </c>
      <c r="K24" t="s">
        <v>46</v>
      </c>
      <c r="L24" t="s">
        <v>47</v>
      </c>
      <c r="M24" t="s">
        <v>174</v>
      </c>
      <c r="N24" t="s">
        <v>49</v>
      </c>
      <c r="O24" t="s">
        <v>175</v>
      </c>
      <c r="P24" t="str">
        <f>VLOOKUP(O24,'Summary Sheet - templete'!F:F,1,0)</f>
        <v>NSAHC0080314615-1-P1</v>
      </c>
      <c r="Q24" t="s">
        <v>159</v>
      </c>
      <c r="R24" t="s">
        <v>160</v>
      </c>
      <c r="S24" t="s">
        <v>160</v>
      </c>
      <c r="T24">
        <v>53408690</v>
      </c>
      <c r="V24" t="s">
        <v>54</v>
      </c>
      <c r="W24" t="s">
        <v>55</v>
      </c>
      <c r="Y24" t="s">
        <v>54</v>
      </c>
      <c r="Z24" t="s">
        <v>55</v>
      </c>
      <c r="AA24" t="s">
        <v>56</v>
      </c>
      <c r="AB24" t="s">
        <v>57</v>
      </c>
      <c r="AC24">
        <v>311610579200003</v>
      </c>
      <c r="AE24" t="s">
        <v>176</v>
      </c>
      <c r="AG24" t="s">
        <v>59</v>
      </c>
      <c r="AH24" t="s">
        <v>59</v>
      </c>
      <c r="AI24">
        <v>0</v>
      </c>
      <c r="AJ24">
        <v>1</v>
      </c>
      <c r="AK24">
        <v>399</v>
      </c>
      <c r="AL24">
        <v>399</v>
      </c>
      <c r="AM24">
        <v>0</v>
      </c>
      <c r="AN24">
        <v>0</v>
      </c>
      <c r="AO24">
        <v>399</v>
      </c>
    </row>
    <row r="25" spans="1:41" x14ac:dyDescent="0.35">
      <c r="A25" t="s">
        <v>40</v>
      </c>
      <c r="B25" t="s">
        <v>41</v>
      </c>
      <c r="C25" t="s">
        <v>102</v>
      </c>
      <c r="D25" t="s">
        <v>43</v>
      </c>
      <c r="E25" t="s">
        <v>103</v>
      </c>
      <c r="F25" s="1">
        <v>46019</v>
      </c>
      <c r="G25" t="s">
        <v>177</v>
      </c>
      <c r="H25">
        <v>1</v>
      </c>
      <c r="I25" t="s">
        <v>178</v>
      </c>
      <c r="J25">
        <v>1</v>
      </c>
      <c r="K25" t="s">
        <v>46</v>
      </c>
      <c r="L25" t="s">
        <v>47</v>
      </c>
      <c r="M25" t="s">
        <v>179</v>
      </c>
      <c r="N25" t="s">
        <v>49</v>
      </c>
      <c r="O25" t="s">
        <v>180</v>
      </c>
      <c r="P25" t="str">
        <f>VLOOKUP(O25,'Summary Sheet - templete'!F:F,1,0)</f>
        <v>NSAHC0081508707-1-P1</v>
      </c>
      <c r="Q25" t="s">
        <v>152</v>
      </c>
      <c r="R25" t="s">
        <v>153</v>
      </c>
      <c r="S25" t="s">
        <v>154</v>
      </c>
      <c r="T25">
        <v>353212106168796</v>
      </c>
      <c r="V25" t="s">
        <v>54</v>
      </c>
      <c r="W25" t="s">
        <v>55</v>
      </c>
      <c r="Y25" t="s">
        <v>54</v>
      </c>
      <c r="Z25" t="s">
        <v>55</v>
      </c>
      <c r="AA25" t="s">
        <v>56</v>
      </c>
      <c r="AB25" t="s">
        <v>57</v>
      </c>
      <c r="AC25">
        <v>311610579200003</v>
      </c>
      <c r="AE25" t="s">
        <v>181</v>
      </c>
      <c r="AG25" t="s">
        <v>59</v>
      </c>
      <c r="AH25" t="s">
        <v>59</v>
      </c>
      <c r="AI25">
        <v>0</v>
      </c>
      <c r="AJ25">
        <v>1</v>
      </c>
      <c r="AK25">
        <v>599</v>
      </c>
      <c r="AL25">
        <v>599</v>
      </c>
      <c r="AM25">
        <v>0</v>
      </c>
      <c r="AN25">
        <v>0</v>
      </c>
      <c r="AO25">
        <v>599</v>
      </c>
    </row>
    <row r="26" spans="1:41" x14ac:dyDescent="0.35">
      <c r="A26" t="s">
        <v>40</v>
      </c>
      <c r="B26" t="s">
        <v>41</v>
      </c>
      <c r="C26" t="s">
        <v>102</v>
      </c>
      <c r="D26" t="s">
        <v>43</v>
      </c>
      <c r="E26" t="s">
        <v>103</v>
      </c>
      <c r="F26" s="1">
        <v>46019</v>
      </c>
      <c r="G26" t="s">
        <v>182</v>
      </c>
      <c r="H26">
        <v>1</v>
      </c>
      <c r="I26" t="s">
        <v>183</v>
      </c>
      <c r="J26">
        <v>1</v>
      </c>
      <c r="K26" t="s">
        <v>46</v>
      </c>
      <c r="L26" t="s">
        <v>47</v>
      </c>
      <c r="M26" t="s">
        <v>184</v>
      </c>
      <c r="N26" t="s">
        <v>49</v>
      </c>
      <c r="O26" t="s">
        <v>185</v>
      </c>
      <c r="P26" t="str">
        <f>VLOOKUP(O26,'Summary Sheet - templete'!F:F,1,0)</f>
        <v>NSAHC0091664187-1-P1</v>
      </c>
      <c r="Q26" t="s">
        <v>75</v>
      </c>
      <c r="R26" t="s">
        <v>76</v>
      </c>
      <c r="S26" t="s">
        <v>76</v>
      </c>
      <c r="T26">
        <v>355822265951518</v>
      </c>
      <c r="V26" t="s">
        <v>54</v>
      </c>
      <c r="W26" t="s">
        <v>55</v>
      </c>
      <c r="Y26" t="s">
        <v>54</v>
      </c>
      <c r="Z26" t="s">
        <v>55</v>
      </c>
      <c r="AA26" t="s">
        <v>56</v>
      </c>
      <c r="AB26" t="s">
        <v>57</v>
      </c>
      <c r="AC26">
        <v>311610579200003</v>
      </c>
      <c r="AE26" t="s">
        <v>186</v>
      </c>
      <c r="AG26" t="s">
        <v>59</v>
      </c>
      <c r="AH26" t="s">
        <v>59</v>
      </c>
      <c r="AI26">
        <v>0</v>
      </c>
      <c r="AJ26">
        <v>1</v>
      </c>
      <c r="AK26">
        <v>2399</v>
      </c>
      <c r="AL26">
        <v>2399</v>
      </c>
      <c r="AM26">
        <v>0</v>
      </c>
      <c r="AN26">
        <v>0</v>
      </c>
      <c r="AO26">
        <v>2399</v>
      </c>
    </row>
    <row r="27" spans="1:41" x14ac:dyDescent="0.35">
      <c r="A27" t="s">
        <v>40</v>
      </c>
      <c r="B27" t="s">
        <v>41</v>
      </c>
      <c r="C27" t="s">
        <v>42</v>
      </c>
      <c r="D27" t="s">
        <v>43</v>
      </c>
      <c r="E27" t="s">
        <v>44</v>
      </c>
      <c r="F27" s="1">
        <v>46018</v>
      </c>
      <c r="G27" t="s">
        <v>187</v>
      </c>
      <c r="H27">
        <v>1</v>
      </c>
      <c r="K27" t="s">
        <v>46</v>
      </c>
      <c r="L27" t="s">
        <v>47</v>
      </c>
      <c r="M27" t="s">
        <v>188</v>
      </c>
      <c r="N27" t="s">
        <v>49</v>
      </c>
      <c r="O27" t="s">
        <v>189</v>
      </c>
      <c r="P27" t="str">
        <f>VLOOKUP(O27,'Summary Sheet - templete'!F:F,1,0)</f>
        <v>NSAHC0037327791-4-P1</v>
      </c>
      <c r="Q27" t="s">
        <v>152</v>
      </c>
      <c r="R27" t="s">
        <v>153</v>
      </c>
      <c r="S27" t="s">
        <v>154</v>
      </c>
      <c r="T27">
        <v>353210104634363</v>
      </c>
      <c r="V27" t="s">
        <v>54</v>
      </c>
      <c r="W27" t="s">
        <v>55</v>
      </c>
      <c r="Y27" t="s">
        <v>54</v>
      </c>
      <c r="Z27" t="s">
        <v>55</v>
      </c>
      <c r="AA27" t="s">
        <v>56</v>
      </c>
      <c r="AB27" t="s">
        <v>57</v>
      </c>
      <c r="AC27">
        <v>311610579200003</v>
      </c>
      <c r="AE27" t="s">
        <v>190</v>
      </c>
      <c r="AG27" t="s">
        <v>59</v>
      </c>
      <c r="AH27" t="s">
        <v>59</v>
      </c>
      <c r="AI27">
        <v>0</v>
      </c>
      <c r="AJ27">
        <v>1</v>
      </c>
      <c r="AK27">
        <v>699</v>
      </c>
      <c r="AL27">
        <v>699</v>
      </c>
      <c r="AM27">
        <v>0</v>
      </c>
      <c r="AN27">
        <v>0</v>
      </c>
      <c r="AO27">
        <v>699</v>
      </c>
    </row>
    <row r="28" spans="1:41" x14ac:dyDescent="0.35">
      <c r="A28" t="s">
        <v>40</v>
      </c>
      <c r="B28" t="s">
        <v>41</v>
      </c>
      <c r="C28" t="s">
        <v>42</v>
      </c>
      <c r="D28" t="s">
        <v>43</v>
      </c>
      <c r="E28" t="s">
        <v>44</v>
      </c>
      <c r="F28" s="1">
        <v>46018</v>
      </c>
      <c r="G28" t="s">
        <v>191</v>
      </c>
      <c r="H28">
        <v>1</v>
      </c>
      <c r="K28" t="s">
        <v>46</v>
      </c>
      <c r="L28" t="s">
        <v>47</v>
      </c>
      <c r="M28" t="s">
        <v>192</v>
      </c>
      <c r="N28" t="s">
        <v>49</v>
      </c>
      <c r="O28" t="s">
        <v>193</v>
      </c>
      <c r="P28" t="str">
        <f>VLOOKUP(O28,'Summary Sheet - templete'!F:F,1,0)</f>
        <v>NSAHC0063312130-2-P1</v>
      </c>
      <c r="Q28" t="s">
        <v>152</v>
      </c>
      <c r="R28" t="s">
        <v>153</v>
      </c>
      <c r="S28" t="s">
        <v>154</v>
      </c>
      <c r="T28">
        <v>353209105408033</v>
      </c>
      <c r="V28" t="s">
        <v>54</v>
      </c>
      <c r="W28" t="s">
        <v>55</v>
      </c>
      <c r="Y28" t="s">
        <v>54</v>
      </c>
      <c r="Z28" t="s">
        <v>55</v>
      </c>
      <c r="AA28" t="s">
        <v>56</v>
      </c>
      <c r="AB28" t="s">
        <v>57</v>
      </c>
      <c r="AC28">
        <v>311610579200003</v>
      </c>
      <c r="AE28" t="s">
        <v>194</v>
      </c>
      <c r="AG28" t="s">
        <v>59</v>
      </c>
      <c r="AH28" t="s">
        <v>59</v>
      </c>
      <c r="AI28">
        <v>0</v>
      </c>
      <c r="AJ28">
        <v>1</v>
      </c>
      <c r="AK28">
        <v>599</v>
      </c>
      <c r="AL28">
        <v>599</v>
      </c>
      <c r="AM28">
        <v>0</v>
      </c>
      <c r="AN28">
        <v>0</v>
      </c>
      <c r="AO28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 Relations Sheet</vt:lpstr>
      <vt:lpstr>Summary Sheet - templete</vt:lpstr>
      <vt:lpstr>Amazon KSA</vt:lpstr>
      <vt:lpstr>Noon KSA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J</cp:lastModifiedBy>
  <dcterms:created xsi:type="dcterms:W3CDTF">2026-01-02T09:14:56Z</dcterms:created>
  <dcterms:modified xsi:type="dcterms:W3CDTF">2026-01-02T11:12:59Z</dcterms:modified>
</cp:coreProperties>
</file>